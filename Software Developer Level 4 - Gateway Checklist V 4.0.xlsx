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harvey\OneDrive - QA Limited\Learners\BAE\"/>
    </mc:Choice>
  </mc:AlternateContent>
  <bookViews>
    <workbookView xWindow="0" yWindow="0" windowWidth="20490" windowHeight="4755" activeTab="1"/>
  </bookViews>
  <sheets>
    <sheet name="SDL4" sheetId="2" r:id="rId1"/>
    <sheet name="Sheet1" sheetId="1" r:id="rId2"/>
  </sheets>
  <definedNames>
    <definedName name="_xlnm._FilterDatabase" localSheetId="1" hidden="1">Sheet1!$A$7:$T$7</definedName>
    <definedName name="_xlnm.Print_Area" localSheetId="0">'SDL4'!$A$1:$B$26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 i="2" l="1"/>
  <c r="B26" i="2" s="1"/>
  <c r="B22" i="2" l="1"/>
  <c r="B23" i="2"/>
  <c r="B24" i="2" s="1"/>
  <c r="B20" i="2"/>
  <c r="B21" i="2"/>
</calcChain>
</file>

<file path=xl/sharedStrings.xml><?xml version="1.0" encoding="utf-8"?>
<sst xmlns="http://schemas.openxmlformats.org/spreadsheetml/2006/main" count="238" uniqueCount="222">
  <si>
    <t>Confirmation of actions</t>
  </si>
  <si>
    <t>Logic</t>
  </si>
  <si>
    <t xml:space="preserve">Data
</t>
  </si>
  <si>
    <t>Test</t>
  </si>
  <si>
    <t>Analysis</t>
  </si>
  <si>
    <t>Problem solving</t>
  </si>
  <si>
    <t>User interface</t>
  </si>
  <si>
    <t>Apprentices can demonstrate the full range of skills, knowledge and behaviours required to fulfil their job role</t>
  </si>
  <si>
    <t>Business Protocols</t>
  </si>
  <si>
    <t>Date:</t>
  </si>
  <si>
    <t>Standards</t>
  </si>
  <si>
    <t>Software Developer Level 4</t>
  </si>
  <si>
    <t>Logic: writes good quality code (logic) with sound syntax in at least one language
Logic - Apprentices can write code to achieve the desired functionality and which is easy to read and understand, with good naming, indentation and commenting, and applying the fundamentals of good coding - development paradigms (where this is object oriented programming this must include inheritance, abstractions, encapsulation, polymorphism)</t>
  </si>
  <si>
    <t>1.1.6 Logic and flow-of-control</t>
  </si>
  <si>
    <t xml:space="preserve">1.1.5 Language-specific idioms
</t>
  </si>
  <si>
    <t xml:space="preserve">1.1.4 Writing programs and methods
</t>
  </si>
  <si>
    <t xml:space="preserve">1.1.3 Software development tools (IDEs)
</t>
  </si>
  <si>
    <t xml:space="preserve">1.1.7 Apprentices can apply : Elements of programming – variables, assignment statements, data types, conditionals, loops, arrays, and input/output.
</t>
  </si>
  <si>
    <t>1.1.8 Apprentices can apply : Functions - modular programming dividing a program into components that can be independently debugged, maintained, and reused writing at least two reusable functions</t>
  </si>
  <si>
    <t>1.1.9 Apprentices can apply : Algorithms and data structures - classical algorithms for sorting and searching, and fundamental data structures.</t>
  </si>
  <si>
    <t>User interface: can develop effective user interfaces for at least one channel
User interface - Apprentices can apply the fundamental concepts of human-computer interaction or user experience design, the development practices leading to a high-quality user interface, and the programming techniques required to construct a graphical user interface.</t>
  </si>
  <si>
    <t>1.2.2 Apprentices can develop user interface coding and implementation - techniques for building user interfaces – for at least one channel</t>
  </si>
  <si>
    <t xml:space="preserve">1.2.3 Apprentices can interact with testers to optimise the user interface
</t>
  </si>
  <si>
    <t>Data: can effectively link code to the database/data sets
Apprentices can link to a range of database types and embed data queries within their code</t>
  </si>
  <si>
    <t>1.3.1 Apprentices can make a connection to a database</t>
  </si>
  <si>
    <t>1.3.2 Apprentices can execute CRUD statements on the database</t>
  </si>
  <si>
    <t>1.3.3 Apprentices can use one-off queries and stored procedures</t>
  </si>
  <si>
    <t>1.3.4 Apprentices can transform returned data in to format the application requires</t>
  </si>
  <si>
    <t>Test: can test code and analyse results to correct errors found using either V-model manual testing and/or using unit testing
Apprentices can test and analyse their code to identify errors as soon as possible in the coding process and on an interactive basis</t>
  </si>
  <si>
    <t>1.4.2 Apprentices can design and develop manual or unit tests</t>
  </si>
  <si>
    <t>1.4.4 Apprentices can assess test results against expected results and acceptance criteria</t>
  </si>
  <si>
    <t>Problem solving: can apply structured techniques to problem solving, can debug code and can understand the structure of programmes in order to identify and resolve issues
Can use a minimum of two problem solving tools and techniques to identify and resolve programming issues</t>
  </si>
  <si>
    <t>1.5.1  Apprentices can apply structured problem solving methods</t>
  </si>
  <si>
    <t>1.5.2 Apprentices can apply problem-solving techniques to programming activities</t>
  </si>
  <si>
    <t>Design: can create simple data models and software designs to effectively communicate understanding of the program, following best practices and standards
Can take a high level design and can interpret and convert the design in to simple data models and/or programme modules to communicate it to others</t>
  </si>
  <si>
    <t>1.6.2 Apprentices can use standard design notation such as UML</t>
  </si>
  <si>
    <t>1.6.4 Apprentices can apply reconcile design against analysis mode</t>
  </si>
  <si>
    <t>1.6.5 Apprentices can design software solutions to meet requirements</t>
  </si>
  <si>
    <t>1.6.1 Apprentices can apply a software design methodologies (e.g., structured or object-oriented)</t>
  </si>
  <si>
    <t>Design</t>
  </si>
  <si>
    <t>Analysis: can understand and create basic analysis artefacts, such as user cases and/or user stories</t>
  </si>
  <si>
    <t>1.7.1 Apprentices can take a variety of data and business requirements and convert them in to basic analysis artefacts to understand and can clarify the intended use of the proposed software</t>
  </si>
  <si>
    <t>1.7.2 Apprentices can identify and represent required functionality (e.g. use cases)</t>
  </si>
  <si>
    <t>1.7.3 Apprentices can identify and represent activity workflow (e.g. activity diagrams)</t>
  </si>
  <si>
    <t>Deployment : can understand and utilise skills to build, manage and deploy code into enterprise environments</t>
  </si>
  <si>
    <t>Deployment</t>
  </si>
  <si>
    <t>1.8.1 Apprentices can package and build completed programmes as appropriate to the resources available for deployment and for migration to different environments, including developing appropriate user documentation</t>
  </si>
  <si>
    <t>1.8.2 Apprentices can package and build completed programmes as appropriate to the resources available for deployment and for migration to different environments, including planning for user training</t>
  </si>
  <si>
    <t>1.8.3 Apprentices can package and build completed programmes as appropriate to the resources available for deployment and for migration to different environments, including data migration.</t>
  </si>
  <si>
    <t>Development lifecycle: can operate at all stages of the software development lifecycle, with increasing breadth and depth over time with initial focus on build and test.
Development lifecycle - Apprentices can operate as software developers showing a good understanding of the other phases of the software development lifecycle and the deliverables that are produced at each stage and as relevant to the development methodology (waterfall, agile, test led etc)</t>
  </si>
  <si>
    <t>Development Lifecycle</t>
  </si>
  <si>
    <t>1.9.1 Apprentices can operate as software developers showing a good understanding of the other phases of the software development lifecycle and the deliverables (waterfall, agile, test led etc)</t>
  </si>
  <si>
    <t>1.9.2 Apprentices can advise third line support for relevant applications</t>
  </si>
  <si>
    <t>Apprentices can apply good practice approaches according to the relevant paradigm (for example object oriented, event driven or procedural)</t>
  </si>
  <si>
    <t>1.10.1  Apprentices can identify and follow standards and good practice that can improve programming efficiency, style and quality, including programming standards, both organisational and external</t>
  </si>
  <si>
    <t>Good Practice Approaches</t>
  </si>
  <si>
    <t>1.10.2 Apprentices can identify and follow standards and good practice that can improve programming efficiency, style and quality, including generic best practices including readability, reusability, maintainability</t>
  </si>
  <si>
    <t xml:space="preserve"> 1.10.3 Apprentices can identify and follow standards and good practice that can improve programming efficiency, style and quality, including best practice approaches of different paradigms and languages</t>
  </si>
  <si>
    <t>Can interpret and follow software designs, functional/technical specifications, company defined ‘coding standards’ or industry good practice for coding, testing frameworks and methodologies, and company, team or client approaches to continuous integration, version and source control</t>
  </si>
  <si>
    <t>1.11.1 Interpretation - Apprentices can adapt to the employers domain and context for software development and interpret and follow the software development approach being implemented.</t>
  </si>
  <si>
    <t xml:space="preserve"> 1.11.2 Interpretation - Apprentices can read software designs and functional/technical specifications, especially those based upon the employer domain and context</t>
  </si>
  <si>
    <t xml:space="preserve">1.11.3 Interpretation - Apprentices can dentify, interpret and follow ‘coding standards’
</t>
  </si>
  <si>
    <t xml:space="preserve"> 1.11.4 Interpretation - Apprentices can identify, interpret and follow best practice coding approaches for specific paradigms and languages
</t>
  </si>
  <si>
    <t xml:space="preserve"> 1.11.5 Interpretation - Apprentices can identify, interpret and follow company, team or client approaches to continuous integration, version and source control.</t>
  </si>
  <si>
    <t xml:space="preserve">1.12.1 Understand and Apply - Apprentices can apply the following considerations when working on projects - Business context
</t>
  </si>
  <si>
    <t>1.12.2 Understand and Apply - Apprentices can apply the following considerations when working on projects - Business drivers (efficiency gains, increased functionality and improved quality of outputs)</t>
  </si>
  <si>
    <t>Apprentices can understand and respond to the business enviornment and business issues related to software development</t>
  </si>
  <si>
    <t>Apprentices can demonstrate working within operational requirements such as health and safety, budgets, brands and normal business protocols</t>
  </si>
  <si>
    <t>1.14 Apprentices understand the importance of service level agreements and/or agreed response times and operates within these</t>
  </si>
  <si>
    <t>Business Context and Drivers</t>
  </si>
  <si>
    <t>1.13 Apprentices can understand and operate effectively in their own businesses, their customers, and the industries environments</t>
  </si>
  <si>
    <t>Service Level Agreements</t>
  </si>
  <si>
    <t>Importance of service Level Agreements</t>
  </si>
  <si>
    <t>Interpret and follow design,coding, testing standards</t>
  </si>
  <si>
    <t>Apprentices can demonstrate the full range of skills, knowledge and behaviours required to fulfil their job role
Apprentices can demonstrate how they contribute to the wider business objectives and show an understanding of the wider business environments</t>
  </si>
  <si>
    <t>Apprentices can demonstrate the ability to use both logical and creative thinking skills when undertaking work tasks, recognising and applying techniques from both.
Apprentices can show that they recognise problems inherent in, or emerging during, work tasks, and can tackle them effectively.</t>
  </si>
  <si>
    <t>Apprentices can manage relationships with work colleagues, including those in more senior roles, customers/clients and other stakeholders, internal or external and as appropriate to their roles, so as to gain their confidence, keep them involved and maintain their support for the task/project in hand.
Apprentices can establish and maintain productive working relationships, and can use a range of different techniques for doing so.</t>
  </si>
  <si>
    <t>Apprentices can communicate effectively with a range of people at work, one-to-one and in groups, in different situations and using a variety of methods.
Apprentices can demonstrate various methods of communication, with an understanding of the strengths, weaknesses and limitations of these, the factors that may disrupt it, and the importance of checking other people’s understanding.</t>
  </si>
  <si>
    <t xml:space="preserve">1.1.1 Development paradigms (where this is object oriented programming this must include inheritance, abstractions, encapsulation, polymorphism)
</t>
  </si>
  <si>
    <t xml:space="preserve">1.1.2 Software programming languages
</t>
  </si>
  <si>
    <t>1.4.1 Apprentices can apply test and debugging strategies</t>
  </si>
  <si>
    <t>1.4.3 Apprentices can test code segment functionality against requirements</t>
  </si>
  <si>
    <t>1.6.3 Apprentices can apply data modelling</t>
  </si>
  <si>
    <t>P</t>
  </si>
  <si>
    <t>Where is the evidence e.g. Summative Porfolio - Project A, Page 15</t>
  </si>
  <si>
    <t>Comments &amp; actions if required</t>
  </si>
  <si>
    <t>LO.1.0 The "What"  Minimum Criteria</t>
  </si>
  <si>
    <t>LO.2.0 The "How"   Minimum Criteria</t>
  </si>
  <si>
    <t>LO.3.0 The "With Whom"  Minimum Criteria</t>
  </si>
  <si>
    <t>Apprentice Mapping (Optional)</t>
  </si>
  <si>
    <t xml:space="preserve">1.2.1 Apprentices can interact with screen or UI designers to ensure the logic layer integrates with the user interface
</t>
  </si>
  <si>
    <t>2.1.1 Understanding the scope of the job role</t>
  </si>
  <si>
    <t>2.1.2  Knows what skills, knowledge and behaviours are needed to do the job well</t>
  </si>
  <si>
    <t>2.1.3 Are aware of their own strengths in the job role, and any areas for improvement</t>
  </si>
  <si>
    <t>2.1.4 Appreciate who else is important, for them to do their job and fulfil the role effectively (e.g. colleagues, managers, other stakeholders)</t>
  </si>
  <si>
    <t>2.1.5 Are aware of potential risks in the job role (e.g. security, privacy, regulatory)</t>
  </si>
  <si>
    <t>2.1.6 Use personal attributes effectively in the role, e.g. entrepreneurship</t>
  </si>
  <si>
    <t>2.1.7 Understand how the job fits into the organisation as a whole</t>
  </si>
  <si>
    <t>2.1.8 Knowing what the next steps in their career might be</t>
  </si>
  <si>
    <t>3.1.1 Understanding the value and importance of good relationships</t>
  </si>
  <si>
    <t>3.1.2 Adopting a way of working that maintains and improves relationships</t>
  </si>
  <si>
    <t>3.1.3  Involving other people in decisions and actions</t>
  </si>
  <si>
    <t>3.1.4 Influencing others by listening to and incorporating their ideas and views</t>
  </si>
  <si>
    <t>3.1.5  Acknowledging other people’s accomplishments and strengths</t>
  </si>
  <si>
    <t xml:space="preserve">3.1.6 Overcoming barriers that prevent productive action
</t>
  </si>
  <si>
    <t>3.1.7  Managing conflict constructively</t>
  </si>
  <si>
    <t>3.1.8  Promoting teamwork by encouraging others to participate</t>
  </si>
  <si>
    <t>Customer/client relationships</t>
  </si>
  <si>
    <t>3.2.1  Establishing contact with customers/clients and keeping in touch</t>
  </si>
  <si>
    <t>3.2.2  Keeping customers/clients informed (‘no surprises’)</t>
  </si>
  <si>
    <t>3.2.3  Understanding their requirements, including constraints and limiting factors</t>
  </si>
  <si>
    <t>3.2.4 Setting reasonable expectations</t>
  </si>
  <si>
    <t>3.2.5 Involving them in decisions and actions (‘co-production’)</t>
  </si>
  <si>
    <t>3.2.6  Interacting positively with them</t>
  </si>
  <si>
    <t>3.2.7  Communicating in different ways</t>
  </si>
  <si>
    <t>3.2.8  Providing a complete answer in response to queries (‘transparency’, ‘full disclosure’)</t>
  </si>
  <si>
    <t>3.2.9  Actively seeking feedback</t>
  </si>
  <si>
    <t>Stakeholders</t>
  </si>
  <si>
    <t>3.3.1  Understanding who they are and what their ‘stake’ is</t>
  </si>
  <si>
    <t>3.3.2 Prioritising stakeholders in terms of their importance, power to affect the task and interest in it</t>
  </si>
  <si>
    <t>3.3.3  Using stakeholders’ views to shape projects early on</t>
  </si>
  <si>
    <t>3.3.4 Gaining support from stakeholders, e.g. to win resources</t>
  </si>
  <si>
    <t>3.3.5  Agreeing objectives</t>
  </si>
  <si>
    <t>3.3.6  Managing expectations</t>
  </si>
  <si>
    <t>3.4.3  Being sensitive to the dynamics of the situation</t>
  </si>
  <si>
    <t>3.4.2  Checking that the person/people with whom one is communicating also understand the purpose</t>
  </si>
  <si>
    <t>3.4.1  Understanding the purpose of communicating in a particular situation or circumstance (e.g. inform, instruct, suggest, discuss, negotiate etc.)</t>
  </si>
  <si>
    <t>3.4.4  Being aware of anything that might disrupt the effectiveness of the communication (e.g. status, past history)</t>
  </si>
  <si>
    <t>3.5.1  Knowing the range of possible communication methods (e.g. spoken, written, graphical, multimedia)</t>
  </si>
  <si>
    <t>3.5.2  Choosing a good, appropriate method for the situation</t>
  </si>
  <si>
    <t xml:space="preserve"> 3.5.3  Being aware of the limitations of the chosen method, and the possible risks of miscommunication (e.g. ambiguity)</t>
  </si>
  <si>
    <t xml:space="preserve"> 3.5.4  Taking account of the affective dimensions of the method (e.g. body language, tone of voice, eye contact, facial expression etc.)</t>
  </si>
  <si>
    <t>3.6.1  Expressing oneself clearly and succinctly, but not over-simplifying</t>
  </si>
  <si>
    <t>3.6.2 Checking that the other person/people understand what is being expressed</t>
  </si>
  <si>
    <t xml:space="preserve"> 3.6.3  Taking account of the potential barriers to understanding (e.g. filtering, selective perception, information overload)</t>
  </si>
  <si>
    <t>3.6.4  Modifying the purpose and methods of communication during a situation in response to cues from the other person/people</t>
  </si>
  <si>
    <t>Skills, knowledge and behaviours</t>
  </si>
  <si>
    <t>2.2.1  Understanding the goals, vision and values of the organisation</t>
  </si>
  <si>
    <t xml:space="preserve"> The organisation</t>
  </si>
  <si>
    <t>2.2.2  Knowing how they contribute to these in their own work</t>
  </si>
  <si>
    <t>2.2.3 Being aware of the commercial objectives of the tasks/ projects they are working on</t>
  </si>
  <si>
    <t>2.2.4 Understanding the importance of meeting or exceeding customers’ requirements and expectations</t>
  </si>
  <si>
    <t>2.2.5  Being in tune with the organisation’s culture</t>
  </si>
  <si>
    <t>2.2.6  Knowing how the organisation works, including its informal culture, internal networks etc.</t>
  </si>
  <si>
    <t xml:space="preserve">2.3.1  Being aware of the position of the organisation in the economy and its contribution to society
</t>
  </si>
  <si>
    <t>The environment</t>
  </si>
  <si>
    <t>2.3.2 Understanding the key external factors that shape the way the organisation function, e.g. regulation</t>
  </si>
  <si>
    <t>2.3.3  Knowing how the organisation can gain advantage in the industry, e.g. through innovation, technology, customer service etc.</t>
  </si>
  <si>
    <t xml:space="preserve">2.4.1  Understanding initial premise(s) and preconditions
</t>
  </si>
  <si>
    <t xml:space="preserve"> Logical thinking</t>
  </si>
  <si>
    <t>2.4.2  Analysing situations from known facts</t>
  </si>
  <si>
    <t>2.4.3  Recognising the conclusion to be reached</t>
  </si>
  <si>
    <t>2.4.4 Proceeding by rational steps</t>
  </si>
  <si>
    <t>2.4.5 Evaluating information, judging its relevance and value</t>
  </si>
  <si>
    <t>2.4.6  Supporting conclusions, using reasoned arguments and evidence</t>
  </si>
  <si>
    <t>2.5.1  - Looking at situations from a fresh perspective</t>
  </si>
  <si>
    <t>Creative thinking</t>
  </si>
  <si>
    <t>2.5.2  Exploring ideas and possibilities</t>
  </si>
  <si>
    <t>2.5.3 Making connections between different aspects</t>
  </si>
  <si>
    <t>2.5.4 Questioning assumptions</t>
  </si>
  <si>
    <t>2.5.5  Generating solutions that may be imaginative or unconventional</t>
  </si>
  <si>
    <t>2.5.6  Devising new approaches</t>
  </si>
  <si>
    <t>2.5.7  Adapting ideas and approaches as conditions or circumstances change</t>
  </si>
  <si>
    <t>2.6.1 - Analysing situations</t>
  </si>
  <si>
    <t xml:space="preserve">Problem-solving </t>
  </si>
  <si>
    <t>2.6.2  Defining goals</t>
  </si>
  <si>
    <t>2.6.3  Developing solutions</t>
  </si>
  <si>
    <t>2.6.4  Prioritising actions</t>
  </si>
  <si>
    <t>2.6.5 Dealing with unexpected occurrences</t>
  </si>
  <si>
    <t>Managing Relationships</t>
  </si>
  <si>
    <t xml:space="preserve"> Intention/purpose  (of the communication)</t>
  </si>
  <si>
    <t>Method (of the communication)</t>
  </si>
  <si>
    <t>Execution (of the communication)</t>
  </si>
  <si>
    <t>1.10</t>
  </si>
  <si>
    <t>Skills Caoch
 e.g. Summative Porfolio - Project A, Page 15</t>
  </si>
  <si>
    <t>IQA 
Confirmation</t>
  </si>
  <si>
    <t>IQA
Confirmation of actions</t>
  </si>
  <si>
    <t xml:space="preserve">1.9.3 Can fix bugs and deal with changes requests </t>
  </si>
  <si>
    <r>
      <rPr>
        <b/>
        <sz val="10.5"/>
        <rFont val="Calibri"/>
        <family val="2"/>
        <scheme val="minor"/>
      </rPr>
      <t xml:space="preserve">IQA Overall Comments </t>
    </r>
    <r>
      <rPr>
        <sz val="10.5"/>
        <rFont val="Calibri"/>
        <family val="2"/>
        <scheme val="minor"/>
      </rPr>
      <t xml:space="preserve">
Beenish Anam
Jeanette Wood 
Jennifer Beech
</t>
    </r>
  </si>
  <si>
    <t>SD Level 4</t>
  </si>
  <si>
    <t>Progress</t>
  </si>
  <si>
    <t>Unknown</t>
  </si>
  <si>
    <t>QA</t>
  </si>
  <si>
    <t>Submission Date</t>
  </si>
  <si>
    <t>Certificate</t>
  </si>
  <si>
    <t>A</t>
  </si>
  <si>
    <t>Workplace</t>
  </si>
  <si>
    <t>B</t>
  </si>
  <si>
    <t>Knowledge Module Certificates</t>
  </si>
  <si>
    <t>C</t>
  </si>
  <si>
    <t>Software Languages</t>
  </si>
  <si>
    <t>D</t>
  </si>
  <si>
    <t>Systems Development Essentials</t>
  </si>
  <si>
    <t>E</t>
  </si>
  <si>
    <t>Other if required (optional)</t>
  </si>
  <si>
    <t>F</t>
  </si>
  <si>
    <t>Employer Reference</t>
  </si>
  <si>
    <t>G</t>
  </si>
  <si>
    <t xml:space="preserve">Signed &amp; Completed </t>
  </si>
  <si>
    <t>H</t>
  </si>
  <si>
    <t>Functional Skills Exemptions or Certs</t>
  </si>
  <si>
    <t>I</t>
  </si>
  <si>
    <t>Maths</t>
  </si>
  <si>
    <t>J</t>
  </si>
  <si>
    <t>English</t>
  </si>
  <si>
    <t>K</t>
  </si>
  <si>
    <t>Canvas</t>
  </si>
  <si>
    <t>L</t>
  </si>
  <si>
    <t>Summative Portfolio Project -</t>
  </si>
  <si>
    <t>M</t>
  </si>
  <si>
    <t>Summative Portfolio Filename(s)</t>
  </si>
  <si>
    <t>Final Draft</t>
  </si>
  <si>
    <t>Synoptic Project Location</t>
  </si>
  <si>
    <t>10 - First Complete Draft</t>
  </si>
  <si>
    <t>Change of Name</t>
  </si>
  <si>
    <t>Deed Poll / Marriage Certificate</t>
  </si>
  <si>
    <t>EXPECTED ACHIEVER Month</t>
  </si>
  <si>
    <t>IQA end by</t>
  </si>
  <si>
    <t>Project expected</t>
  </si>
  <si>
    <t>Interview scheduled by</t>
  </si>
  <si>
    <t>Results expected:</t>
  </si>
  <si>
    <t>SUBMISSION Between Oct 20th + Dec 17th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</si>
</sst>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9" x14ac:knownFonts="1">
    <font>
      <sz val="11"/>
      <color theme="1"/>
      <name val="Calibri"/>
      <family val="2"/>
      <scheme val="minor"/>
    </font>
    <font>
      <b/>
      <sz val="10.5"/>
      <color rgb="FF2D3B45"/>
      <name val="Calibri"/>
      <family val="2"/>
      <scheme val="minor"/>
    </font>
    <font>
      <sz val="10.5"/>
      <name val="Calibri"/>
      <family val="2"/>
      <scheme val="minor"/>
    </font>
    <font>
      <b/>
      <sz val="10.5"/>
      <name val="Calibri"/>
      <family val="2"/>
      <scheme val="minor"/>
    </font>
    <font>
      <sz val="11"/>
      <color theme="1"/>
      <name val="Wingdings 2"/>
      <family val="1"/>
      <charset val="2"/>
    </font>
    <font>
      <b/>
      <sz val="18"/>
      <color rgb="FF2D3B45"/>
      <name val="Arial"/>
      <family val="2"/>
    </font>
    <font>
      <b/>
      <sz val="14"/>
      <name val="Calibri"/>
      <family val="2"/>
      <scheme val="minor"/>
    </font>
    <font>
      <sz val="10.5"/>
      <color rgb="FF002060"/>
      <name val="Calibri"/>
      <family val="2"/>
      <scheme val="minor"/>
    </font>
    <font>
      <b/>
      <sz val="12"/>
      <name val="Calibri"/>
      <family val="2"/>
      <scheme val="minor"/>
    </font>
    <font>
      <sz val="18"/>
      <color theme="1"/>
      <name val="Wingdings 2"/>
      <family val="1"/>
      <charset val="2"/>
    </font>
    <font>
      <b/>
      <sz val="10.5"/>
      <color rgb="FF002060"/>
      <name val="Calibri"/>
      <family val="2"/>
      <scheme val="minor"/>
    </font>
    <font>
      <sz val="12"/>
      <color theme="0"/>
      <name val="Calibri"/>
      <family val="2"/>
      <scheme val="minor"/>
    </font>
    <font>
      <sz val="10"/>
      <color rgb="FF002060"/>
      <name val="Calibri"/>
      <family val="2"/>
      <scheme val="minor"/>
    </font>
    <font>
      <b/>
      <sz val="16"/>
      <name val="Calibri"/>
      <family val="2"/>
      <scheme val="minor"/>
    </font>
    <font>
      <b/>
      <sz val="18"/>
      <color rgb="FF2D3B45"/>
      <name val="Calibri"/>
      <family val="2"/>
      <scheme val="minor"/>
    </font>
    <font>
      <sz val="11"/>
      <color theme="1"/>
      <name val="Calibri"/>
      <family val="2"/>
    </font>
    <font>
      <sz val="11"/>
      <color theme="0"/>
      <name val="Calibri"/>
      <family val="2"/>
      <scheme val="minor"/>
    </font>
    <font>
      <b/>
      <sz val="26"/>
      <color theme="4" tint="-0.249977111117893"/>
      <name val="Calibri"/>
      <family val="2"/>
      <scheme val="minor"/>
    </font>
    <font>
      <sz val="14"/>
      <color theme="4" tint="-0.249977111117893"/>
      <name val="Calibri"/>
      <family val="2"/>
      <scheme val="minor"/>
    </font>
    <font>
      <b/>
      <sz val="18"/>
      <color theme="0"/>
      <name val="Calibri"/>
      <family val="2"/>
      <scheme val="minor"/>
    </font>
    <font>
      <i/>
      <sz val="14"/>
      <color theme="1"/>
      <name val="Calibri"/>
      <family val="2"/>
      <scheme val="minor"/>
    </font>
    <font>
      <b/>
      <sz val="14"/>
      <color theme="1"/>
      <name val="Calibri"/>
      <family val="2"/>
      <scheme val="minor"/>
    </font>
    <font>
      <sz val="14"/>
      <color theme="1"/>
      <name val="Calibri"/>
      <family val="2"/>
      <scheme val="minor"/>
    </font>
    <font>
      <sz val="20"/>
      <color theme="1"/>
      <name val="Calibri"/>
      <family val="2"/>
      <scheme val="minor"/>
    </font>
    <font>
      <i/>
      <sz val="20"/>
      <color theme="1"/>
      <name val="Calibri"/>
      <family val="2"/>
      <scheme val="minor"/>
    </font>
    <font>
      <i/>
      <sz val="9"/>
      <color theme="1"/>
      <name val="Calibri"/>
      <family val="2"/>
      <scheme val="minor"/>
    </font>
    <font>
      <i/>
      <sz val="11"/>
      <color theme="1"/>
      <name val="Calibri"/>
      <family val="2"/>
      <scheme val="minor"/>
    </font>
    <font>
      <sz val="14"/>
      <color rgb="FF92D050"/>
      <name val="Calibri"/>
      <family val="2"/>
      <scheme val="minor"/>
    </font>
    <font>
      <b/>
      <sz val="11"/>
      <color rgb="FF92D050"/>
      <name val="Calibri"/>
      <family val="2"/>
      <scheme val="minor"/>
    </font>
  </fonts>
  <fills count="9">
    <fill>
      <patternFill patternType="none"/>
    </fill>
    <fill>
      <patternFill patternType="gray125"/>
    </fill>
    <fill>
      <patternFill patternType="solid">
        <fgColor rgb="FF0070C0"/>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theme="0" tint="-4.9989318521683403E-2"/>
        <bgColor indexed="64"/>
      </patternFill>
    </fill>
    <fill>
      <patternFill patternType="solid">
        <fgColor rgb="FFFF000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top style="thin">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style="thin">
        <color indexed="64"/>
      </right>
      <top/>
      <bottom/>
      <diagonal/>
    </border>
  </borders>
  <cellStyleXfs count="1">
    <xf numFmtId="0" fontId="0" fillId="0" borderId="0"/>
  </cellStyleXfs>
  <cellXfs count="141">
    <xf numFmtId="0" fontId="0" fillId="0" borderId="0" xfId="0"/>
    <xf numFmtId="0" fontId="0" fillId="0" borderId="1" xfId="0" applyBorder="1"/>
    <xf numFmtId="0" fontId="4" fillId="0" borderId="1" xfId="0" applyFont="1" applyBorder="1"/>
    <xf numFmtId="0" fontId="0" fillId="0" borderId="1" xfId="0" applyBorder="1" applyAlignment="1">
      <alignment wrapText="1"/>
    </xf>
    <xf numFmtId="0" fontId="9" fillId="0" borderId="1" xfId="0" applyFont="1" applyBorder="1" applyAlignment="1">
      <alignment horizontal="center" vertical="center"/>
    </xf>
    <xf numFmtId="0" fontId="0" fillId="0" borderId="17" xfId="0" applyBorder="1"/>
    <xf numFmtId="0" fontId="0" fillId="0" borderId="2" xfId="0" applyBorder="1"/>
    <xf numFmtId="0" fontId="4" fillId="0" borderId="1" xfId="0" applyFont="1" applyBorder="1" applyAlignment="1">
      <alignment horizontal="center" vertical="center"/>
    </xf>
    <xf numFmtId="0" fontId="0" fillId="0" borderId="18" xfId="0" applyBorder="1"/>
    <xf numFmtId="0" fontId="0" fillId="0" borderId="17" xfId="0" applyBorder="1" applyAlignment="1">
      <alignment vertical="center" wrapText="1"/>
    </xf>
    <xf numFmtId="0" fontId="0" fillId="0" borderId="23" xfId="0" applyBorder="1" applyAlignment="1">
      <alignment vertical="center" wrapText="1"/>
    </xf>
    <xf numFmtId="0" fontId="0" fillId="0" borderId="24" xfId="0" applyBorder="1"/>
    <xf numFmtId="0" fontId="0" fillId="0" borderId="25" xfId="0" applyBorder="1"/>
    <xf numFmtId="0" fontId="0" fillId="0" borderId="0" xfId="0" applyBorder="1"/>
    <xf numFmtId="0" fontId="0" fillId="0" borderId="2" xfId="0" applyBorder="1" applyAlignment="1">
      <alignment vertical="center" wrapText="1"/>
    </xf>
    <xf numFmtId="0" fontId="12" fillId="3" borderId="26" xfId="0" applyFont="1" applyFill="1" applyBorder="1" applyAlignment="1">
      <alignment horizontal="center" vertical="center"/>
    </xf>
    <xf numFmtId="0" fontId="4" fillId="0" borderId="3"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0" borderId="23" xfId="0" applyFont="1" applyBorder="1" applyAlignment="1">
      <alignment horizontal="center" vertical="center"/>
    </xf>
    <xf numFmtId="0" fontId="9" fillId="0" borderId="24" xfId="0" applyFont="1" applyBorder="1" applyAlignment="1">
      <alignment horizontal="center" vertical="center"/>
    </xf>
    <xf numFmtId="0" fontId="9" fillId="0" borderId="25" xfId="0" applyFont="1" applyBorder="1" applyAlignment="1">
      <alignment horizontal="center" vertical="center"/>
    </xf>
    <xf numFmtId="0" fontId="15" fillId="0" borderId="1" xfId="0" applyFont="1" applyBorder="1" applyAlignment="1">
      <alignment horizontal="center" vertical="center"/>
    </xf>
    <xf numFmtId="0" fontId="0" fillId="0" borderId="24" xfId="0" applyBorder="1" applyAlignment="1">
      <alignment vertical="center" wrapText="1"/>
    </xf>
    <xf numFmtId="0" fontId="4" fillId="0" borderId="25" xfId="0" applyFont="1" applyBorder="1" applyAlignment="1">
      <alignment horizontal="center" vertical="center"/>
    </xf>
    <xf numFmtId="0" fontId="9" fillId="0" borderId="2" xfId="0" applyFont="1" applyBorder="1" applyAlignment="1">
      <alignment horizontal="center" vertical="center"/>
    </xf>
    <xf numFmtId="0" fontId="0" fillId="0" borderId="0" xfId="0" applyFill="1" applyBorder="1"/>
    <xf numFmtId="0" fontId="2" fillId="3" borderId="11" xfId="0" applyFont="1" applyFill="1" applyBorder="1" applyAlignment="1">
      <alignment vertical="center" wrapText="1"/>
    </xf>
    <xf numFmtId="0" fontId="2" fillId="3" borderId="2" xfId="0" applyFont="1" applyFill="1" applyBorder="1" applyAlignment="1">
      <alignment vertical="center" wrapText="1"/>
    </xf>
    <xf numFmtId="0" fontId="2" fillId="3" borderId="37" xfId="0" applyFont="1" applyFill="1" applyBorder="1" applyAlignment="1">
      <alignment vertical="center" wrapText="1"/>
    </xf>
    <xf numFmtId="0" fontId="0" fillId="0" borderId="0" xfId="0" applyFill="1"/>
    <xf numFmtId="0" fontId="2" fillId="3" borderId="4" xfId="0" applyFont="1" applyFill="1" applyBorder="1" applyAlignment="1">
      <alignment vertical="center" wrapText="1"/>
    </xf>
    <xf numFmtId="0" fontId="2" fillId="3" borderId="38" xfId="0" applyFont="1" applyFill="1" applyBorder="1" applyAlignment="1">
      <alignment vertical="center" wrapText="1"/>
    </xf>
    <xf numFmtId="0" fontId="2" fillId="3" borderId="0" xfId="0" applyFont="1" applyFill="1" applyBorder="1" applyAlignment="1">
      <alignment vertical="center" wrapText="1"/>
    </xf>
    <xf numFmtId="0" fontId="2" fillId="3" borderId="10" xfId="0" applyFont="1" applyFill="1" applyBorder="1" applyAlignment="1">
      <alignment vertical="center" wrapText="1"/>
    </xf>
    <xf numFmtId="0" fontId="2" fillId="3" borderId="27"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44" xfId="0" applyFont="1" applyFill="1" applyBorder="1" applyAlignment="1">
      <alignment horizontal="left" vertical="top" wrapText="1"/>
    </xf>
    <xf numFmtId="0" fontId="2" fillId="3" borderId="26" xfId="0" applyFont="1" applyFill="1" applyBorder="1" applyAlignment="1">
      <alignment horizontal="left" vertical="top" wrapText="1"/>
    </xf>
    <xf numFmtId="0" fontId="2" fillId="3" borderId="40"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42" xfId="0" applyFont="1" applyFill="1" applyBorder="1" applyAlignment="1">
      <alignment horizontal="left" vertical="top" wrapText="1"/>
    </xf>
    <xf numFmtId="0" fontId="2" fillId="3" borderId="43" xfId="0" applyFont="1" applyFill="1" applyBorder="1" applyAlignment="1">
      <alignment horizontal="left" vertical="top" wrapText="1"/>
    </xf>
    <xf numFmtId="0" fontId="0" fillId="3" borderId="17" xfId="0" applyFill="1" applyBorder="1" applyAlignment="1">
      <alignment vertical="center" wrapText="1"/>
    </xf>
    <xf numFmtId="0" fontId="0" fillId="3" borderId="1" xfId="0" applyFill="1" applyBorder="1"/>
    <xf numFmtId="0" fontId="15" fillId="3" borderId="1" xfId="0" applyFont="1" applyFill="1" applyBorder="1" applyAlignment="1">
      <alignment horizontal="center" vertical="center"/>
    </xf>
    <xf numFmtId="0" fontId="0" fillId="3" borderId="18" xfId="0" applyFill="1" applyBorder="1"/>
    <xf numFmtId="0" fontId="9" fillId="3" borderId="1" xfId="0" applyFont="1" applyFill="1" applyBorder="1" applyAlignment="1">
      <alignment horizontal="center" vertical="center"/>
    </xf>
    <xf numFmtId="0" fontId="0" fillId="3" borderId="2" xfId="0" applyFill="1" applyBorder="1" applyAlignment="1">
      <alignment vertical="center" wrapText="1"/>
    </xf>
    <xf numFmtId="0" fontId="4" fillId="3" borderId="3"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18" xfId="0" applyFont="1" applyFill="1" applyBorder="1" applyAlignment="1">
      <alignment horizontal="center" vertical="center"/>
    </xf>
    <xf numFmtId="0" fontId="0" fillId="3" borderId="1" xfId="0" applyFill="1" applyBorder="1" applyAlignment="1">
      <alignment wrapText="1"/>
    </xf>
    <xf numFmtId="0" fontId="0" fillId="3" borderId="2" xfId="0" applyFill="1" applyBorder="1"/>
    <xf numFmtId="0" fontId="9" fillId="3" borderId="2" xfId="0" applyFont="1" applyFill="1" applyBorder="1" applyAlignment="1">
      <alignment horizontal="center" vertical="center"/>
    </xf>
    <xf numFmtId="0" fontId="4" fillId="3" borderId="1" xfId="0" applyFont="1" applyFill="1" applyBorder="1"/>
    <xf numFmtId="0" fontId="17" fillId="5" borderId="9" xfId="0" applyFont="1" applyFill="1" applyBorder="1"/>
    <xf numFmtId="0" fontId="18" fillId="5" borderId="37" xfId="0" applyFont="1" applyFill="1" applyBorder="1"/>
    <xf numFmtId="0" fontId="16" fillId="6" borderId="0" xfId="0" applyFont="1" applyFill="1"/>
    <xf numFmtId="0" fontId="0" fillId="6" borderId="0" xfId="0" applyFill="1"/>
    <xf numFmtId="0" fontId="19" fillId="5" borderId="19" xfId="0" applyFont="1" applyFill="1" applyBorder="1"/>
    <xf numFmtId="16" fontId="20" fillId="7" borderId="11" xfId="0" applyNumberFormat="1" applyFont="1" applyFill="1" applyBorder="1"/>
    <xf numFmtId="0" fontId="21" fillId="5" borderId="44" xfId="0" applyFont="1" applyFill="1" applyBorder="1"/>
    <xf numFmtId="16" fontId="20" fillId="7" borderId="44" xfId="0" applyNumberFormat="1" applyFont="1" applyFill="1" applyBorder="1"/>
    <xf numFmtId="0" fontId="22" fillId="5" borderId="7" xfId="0" applyFont="1" applyFill="1" applyBorder="1"/>
    <xf numFmtId="0" fontId="22" fillId="7" borderId="44" xfId="0" applyFont="1" applyFill="1" applyBorder="1"/>
    <xf numFmtId="0" fontId="21" fillId="5" borderId="6" xfId="0" applyFont="1" applyFill="1" applyBorder="1"/>
    <xf numFmtId="0" fontId="22" fillId="7" borderId="37" xfId="0" applyFont="1" applyFill="1" applyBorder="1"/>
    <xf numFmtId="0" fontId="22" fillId="5" borderId="8" xfId="0" applyFont="1" applyFill="1" applyBorder="1"/>
    <xf numFmtId="0" fontId="22" fillId="7" borderId="11" xfId="0" applyFont="1" applyFill="1" applyBorder="1"/>
    <xf numFmtId="0" fontId="22" fillId="5" borderId="7" xfId="0" applyFont="1" applyFill="1" applyBorder="1" applyAlignment="1">
      <alignment vertical="top"/>
    </xf>
    <xf numFmtId="0" fontId="22" fillId="5" borderId="8" xfId="0" applyFont="1" applyFill="1" applyBorder="1" applyAlignment="1">
      <alignment vertical="top"/>
    </xf>
    <xf numFmtId="0" fontId="22" fillId="5" borderId="44" xfId="0" applyFont="1" applyFill="1" applyBorder="1"/>
    <xf numFmtId="0" fontId="22" fillId="7" borderId="0" xfId="0" applyFont="1" applyFill="1" applyBorder="1"/>
    <xf numFmtId="0" fontId="23" fillId="5" borderId="44" xfId="0" applyFont="1" applyFill="1" applyBorder="1"/>
    <xf numFmtId="17" fontId="24" fillId="7" borderId="0" xfId="0" applyNumberFormat="1" applyFont="1" applyFill="1" applyBorder="1"/>
    <xf numFmtId="0" fontId="25" fillId="5" borderId="44" xfId="0" applyFont="1" applyFill="1" applyBorder="1"/>
    <xf numFmtId="16" fontId="26" fillId="7" borderId="0" xfId="0" applyNumberFormat="1" applyFont="1" applyFill="1" applyBorder="1"/>
    <xf numFmtId="16" fontId="26" fillId="7" borderId="0" xfId="0" applyNumberFormat="1" applyFont="1" applyFill="1"/>
    <xf numFmtId="0" fontId="27" fillId="8" borderId="1" xfId="0" applyFont="1" applyFill="1" applyBorder="1"/>
    <xf numFmtId="17" fontId="28" fillId="8" borderId="2" xfId="0" applyNumberFormat="1" applyFont="1" applyFill="1" applyBorder="1"/>
    <xf numFmtId="0" fontId="16" fillId="0" borderId="0" xfId="0" applyFont="1"/>
    <xf numFmtId="0" fontId="12" fillId="3" borderId="6" xfId="0" applyFont="1" applyFill="1" applyBorder="1" applyAlignment="1">
      <alignment horizontal="center" vertical="center" wrapText="1"/>
    </xf>
    <xf numFmtId="0" fontId="12" fillId="3" borderId="7" xfId="0" applyFont="1" applyFill="1" applyBorder="1" applyAlignment="1">
      <alignment horizontal="center" vertical="center" wrapText="1"/>
    </xf>
    <xf numFmtId="0" fontId="12" fillId="3" borderId="8" xfId="0" applyFont="1" applyFill="1" applyBorder="1" applyAlignment="1">
      <alignment horizontal="center" vertical="center" wrapText="1"/>
    </xf>
    <xf numFmtId="0" fontId="12" fillId="3" borderId="9" xfId="0" applyFont="1" applyFill="1" applyBorder="1" applyAlignment="1">
      <alignment horizontal="center" vertical="center" wrapText="1"/>
    </xf>
    <xf numFmtId="0" fontId="12" fillId="3" borderId="10" xfId="0" applyFont="1" applyFill="1" applyBorder="1" applyAlignment="1">
      <alignment horizontal="center" vertical="center" wrapText="1"/>
    </xf>
    <xf numFmtId="0" fontId="12" fillId="3" borderId="19" xfId="0" applyFont="1" applyFill="1" applyBorder="1" applyAlignment="1">
      <alignment horizontal="center" vertical="center" wrapText="1"/>
    </xf>
    <xf numFmtId="0" fontId="10" fillId="0" borderId="21" xfId="0" applyFont="1" applyFill="1" applyBorder="1" applyAlignment="1">
      <alignment horizontal="left" vertical="top" wrapText="1"/>
    </xf>
    <xf numFmtId="0" fontId="7" fillId="0" borderId="21" xfId="0" applyFont="1" applyFill="1" applyBorder="1" applyAlignment="1">
      <alignment horizontal="left" vertical="top" wrapText="1"/>
    </xf>
    <xf numFmtId="0" fontId="2" fillId="3" borderId="10" xfId="0" applyFont="1" applyFill="1" applyBorder="1" applyAlignment="1">
      <alignment horizontal="center" vertical="center" wrapText="1"/>
    </xf>
    <xf numFmtId="0" fontId="5" fillId="3" borderId="0" xfId="0" applyFont="1" applyFill="1" applyBorder="1" applyAlignment="1">
      <alignment horizontal="center" vertical="center"/>
    </xf>
    <xf numFmtId="0" fontId="2" fillId="3" borderId="20" xfId="0" applyFont="1" applyFill="1" applyBorder="1" applyAlignment="1">
      <alignment horizontal="center" vertical="center" wrapText="1"/>
    </xf>
    <xf numFmtId="0" fontId="2" fillId="3" borderId="21"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13" fillId="3" borderId="20" xfId="0" applyFont="1" applyFill="1" applyBorder="1" applyAlignment="1">
      <alignment horizontal="center" vertical="top" wrapText="1"/>
    </xf>
    <xf numFmtId="0" fontId="13" fillId="3" borderId="22" xfId="0" applyFont="1" applyFill="1" applyBorder="1" applyAlignment="1">
      <alignment horizontal="center" vertical="top" wrapText="1"/>
    </xf>
    <xf numFmtId="0" fontId="14" fillId="3" borderId="20"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4" fillId="3" borderId="22" xfId="0" applyFont="1" applyFill="1" applyBorder="1" applyAlignment="1">
      <alignment horizontal="center" vertical="center" wrapText="1"/>
    </xf>
    <xf numFmtId="0" fontId="0" fillId="4" borderId="34" xfId="0" applyFill="1" applyBorder="1" applyAlignment="1">
      <alignment horizontal="center" vertical="center"/>
    </xf>
    <xf numFmtId="0" fontId="0" fillId="4" borderId="35" xfId="0" applyFill="1" applyBorder="1" applyAlignment="1">
      <alignment horizontal="center" vertical="center"/>
    </xf>
    <xf numFmtId="0" fontId="0" fillId="4" borderId="36" xfId="0" applyFill="1" applyBorder="1" applyAlignment="1">
      <alignment horizontal="center" vertical="center"/>
    </xf>
    <xf numFmtId="0" fontId="5" fillId="3" borderId="28"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0" xfId="0" applyFont="1" applyFill="1" applyBorder="1" applyAlignment="1">
      <alignment horizontal="center" vertical="center"/>
    </xf>
    <xf numFmtId="0" fontId="5" fillId="3" borderId="31" xfId="0" applyFont="1" applyFill="1" applyBorder="1" applyAlignment="1">
      <alignment horizontal="center" vertical="center"/>
    </xf>
    <xf numFmtId="0" fontId="5" fillId="3" borderId="32" xfId="0" applyFont="1" applyFill="1" applyBorder="1" applyAlignment="1">
      <alignment horizontal="center" vertical="center"/>
    </xf>
    <xf numFmtId="0" fontId="5" fillId="3" borderId="33" xfId="0" applyFont="1" applyFill="1" applyBorder="1" applyAlignment="1">
      <alignment horizontal="center" vertical="center"/>
    </xf>
    <xf numFmtId="0" fontId="10" fillId="0" borderId="20" xfId="0" applyFont="1" applyFill="1" applyBorder="1" applyAlignment="1">
      <alignment horizontal="left" vertical="top" wrapText="1"/>
    </xf>
    <xf numFmtId="0" fontId="7" fillId="0" borderId="22" xfId="0" applyFont="1" applyFill="1" applyBorder="1" applyAlignment="1">
      <alignment horizontal="left" vertical="top" wrapText="1"/>
    </xf>
    <xf numFmtId="0" fontId="13" fillId="3" borderId="20" xfId="0" applyFont="1" applyFill="1" applyBorder="1" applyAlignment="1">
      <alignment horizontal="center" vertical="center" wrapText="1"/>
    </xf>
    <xf numFmtId="0" fontId="13" fillId="3" borderId="22" xfId="0" applyFont="1" applyFill="1" applyBorder="1" applyAlignment="1">
      <alignment horizontal="center" vertical="center" wrapText="1"/>
    </xf>
    <xf numFmtId="0" fontId="1" fillId="4" borderId="34" xfId="0" applyFont="1" applyFill="1" applyBorder="1" applyAlignment="1">
      <alignment horizontal="center" vertical="center" wrapText="1"/>
    </xf>
    <xf numFmtId="0" fontId="1" fillId="4" borderId="35" xfId="0" applyFont="1" applyFill="1" applyBorder="1" applyAlignment="1">
      <alignment horizontal="center" vertical="center" wrapText="1"/>
    </xf>
    <xf numFmtId="0" fontId="1" fillId="4" borderId="36" xfId="0" applyFont="1" applyFill="1" applyBorder="1" applyAlignment="1">
      <alignment horizontal="center" vertical="center" wrapText="1"/>
    </xf>
    <xf numFmtId="0" fontId="12" fillId="3" borderId="13" xfId="0" applyFont="1" applyFill="1" applyBorder="1" applyAlignment="1">
      <alignment horizontal="center" vertical="center" wrapText="1"/>
    </xf>
    <xf numFmtId="0" fontId="12" fillId="3" borderId="14"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11" fillId="2" borderId="15" xfId="0" applyFont="1" applyFill="1" applyBorder="1" applyAlignment="1">
      <alignment horizontal="center" vertical="center" wrapText="1"/>
    </xf>
    <xf numFmtId="0" fontId="11" fillId="2" borderId="44"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3" fillId="3" borderId="20" xfId="0" applyFont="1" applyFill="1" applyBorder="1" applyAlignment="1">
      <alignment horizontal="center" vertical="top" wrapText="1"/>
    </xf>
    <xf numFmtId="0" fontId="3" fillId="3" borderId="22" xfId="0" applyFont="1" applyFill="1" applyBorder="1" applyAlignment="1">
      <alignment horizontal="center" vertical="top" wrapText="1"/>
    </xf>
    <xf numFmtId="0" fontId="2" fillId="3" borderId="39" xfId="0" applyFont="1" applyFill="1" applyBorder="1" applyAlignment="1">
      <alignment horizontal="center" vertical="center" wrapText="1"/>
    </xf>
    <xf numFmtId="0" fontId="2" fillId="3" borderId="14" xfId="0" applyFont="1" applyFill="1" applyBorder="1" applyAlignment="1">
      <alignment horizontal="center" vertical="center" wrapText="1"/>
    </xf>
    <xf numFmtId="0" fontId="2" fillId="3" borderId="41" xfId="0" applyFont="1" applyFill="1" applyBorder="1" applyAlignment="1">
      <alignment horizontal="center" vertical="center" wrapText="1"/>
    </xf>
    <xf numFmtId="0" fontId="6" fillId="3" borderId="20" xfId="0" applyFont="1" applyFill="1" applyBorder="1" applyAlignment="1">
      <alignment horizontal="center" vertical="top" wrapText="1"/>
    </xf>
    <xf numFmtId="0" fontId="6" fillId="3" borderId="21" xfId="0" applyFont="1" applyFill="1" applyBorder="1" applyAlignment="1">
      <alignment horizontal="center" vertical="top" wrapText="1"/>
    </xf>
    <xf numFmtId="0" fontId="6" fillId="3" borderId="22" xfId="0" applyFont="1" applyFill="1" applyBorder="1" applyAlignment="1">
      <alignment horizontal="center" vertical="top" wrapText="1"/>
    </xf>
    <xf numFmtId="49" fontId="0" fillId="4" borderId="34" xfId="0" applyNumberFormat="1" applyFill="1" applyBorder="1" applyAlignment="1">
      <alignment horizontal="center" vertical="center"/>
    </xf>
    <xf numFmtId="49" fontId="0" fillId="4" borderId="35" xfId="0" applyNumberFormat="1" applyFill="1" applyBorder="1" applyAlignment="1">
      <alignment horizontal="center" vertical="center"/>
    </xf>
    <xf numFmtId="49" fontId="0" fillId="4" borderId="36" xfId="0" applyNumberFormat="1" applyFill="1" applyBorder="1" applyAlignment="1">
      <alignment horizontal="center" vertical="center"/>
    </xf>
    <xf numFmtId="0" fontId="2" fillId="3" borderId="39" xfId="0" applyFont="1" applyFill="1" applyBorder="1" applyAlignment="1">
      <alignment horizontal="center" vertical="top" wrapText="1"/>
    </xf>
    <xf numFmtId="0" fontId="2" fillId="3" borderId="14" xfId="0" applyFont="1" applyFill="1" applyBorder="1" applyAlignment="1">
      <alignment horizontal="center" vertical="top" wrapText="1"/>
    </xf>
    <xf numFmtId="0" fontId="2" fillId="3" borderId="41" xfId="0" applyFont="1" applyFill="1" applyBorder="1" applyAlignment="1">
      <alignment horizontal="center" vertical="top" wrapText="1"/>
    </xf>
    <xf numFmtId="0" fontId="8" fillId="3" borderId="20" xfId="0" applyFont="1" applyFill="1" applyBorder="1" applyAlignment="1">
      <alignment horizontal="center" vertical="top" wrapText="1"/>
    </xf>
    <xf numFmtId="0" fontId="8" fillId="3" borderId="22" xfId="0" applyFont="1" applyFill="1" applyBorder="1" applyAlignment="1">
      <alignment horizontal="center" vertical="top" wrapText="1"/>
    </xf>
    <xf numFmtId="0" fontId="3" fillId="3" borderId="21" xfId="0" applyFont="1" applyFill="1" applyBorder="1" applyAlignment="1">
      <alignment horizontal="center" vertical="top"/>
    </xf>
    <xf numFmtId="0" fontId="3" fillId="3" borderId="22" xfId="0" applyFont="1" applyFill="1" applyBorder="1" applyAlignment="1">
      <alignment horizontal="center" vertical="top"/>
    </xf>
  </cellXfs>
  <cellStyles count="1">
    <cellStyle name="Normal" xfId="0" builtinId="0"/>
  </cellStyles>
  <dxfs count="32">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sz val="14"/>
        <color theme="1"/>
        <name val="Calibri"/>
        <scheme val="minor"/>
      </font>
      <fill>
        <patternFill patternType="solid">
          <fgColor indexed="64"/>
          <bgColor theme="0" tint="-4.9989318521683403E-2"/>
        </patternFill>
      </fill>
    </dxf>
    <dxf>
      <font>
        <strike val="0"/>
        <outline val="0"/>
        <shadow val="0"/>
        <u val="none"/>
        <vertAlign val="baseline"/>
        <sz val="14"/>
        <color theme="1"/>
        <name val="Calibri"/>
        <scheme val="minor"/>
      </font>
      <fill>
        <patternFill patternType="solid">
          <fgColor indexed="64"/>
          <bgColor theme="4" tint="0.39997558519241921"/>
        </patternFill>
      </fill>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color theme="1"/>
        <name val="Calibri"/>
        <scheme val="minor"/>
      </font>
    </dxf>
    <dxf>
      <border>
        <bottom style="thin">
          <color indexed="64"/>
        </bottom>
      </border>
    </dxf>
    <dxf>
      <font>
        <strike val="0"/>
        <outline val="0"/>
        <shadow val="0"/>
        <u val="none"/>
        <vertAlign val="baseline"/>
        <sz val="14"/>
        <color theme="1"/>
        <name val="Calibri"/>
        <scheme val="minor"/>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ctrlProps/ctrlProp1.xml><?xml version="1.0" encoding="utf-8"?>
<formControlPr xmlns="http://schemas.microsoft.com/office/spreadsheetml/2009/9/main" objectType="CheckBox" fmlaLink="$C$5" lockText="1" noThreeD="1"/>
</file>

<file path=xl/ctrlProps/ctrlProp2.xml><?xml version="1.0" encoding="utf-8"?>
<formControlPr xmlns="http://schemas.microsoft.com/office/spreadsheetml/2009/9/main" objectType="CheckBox" fmlaLink="$C$7" lockText="1" noThreeD="1"/>
</file>

<file path=xl/ctrlProps/ctrlProp3.xml><?xml version="1.0" encoding="utf-8"?>
<formControlPr xmlns="http://schemas.microsoft.com/office/spreadsheetml/2009/9/main" objectType="CheckBox" fmlaLink="$C$9" lockText="1" noThreeD="1"/>
</file>

<file path=xl/ctrlProps/ctrlProp4.xml><?xml version="1.0" encoding="utf-8"?>
<formControlPr xmlns="http://schemas.microsoft.com/office/spreadsheetml/2009/9/main" objectType="List" dx="22" fmlaRange="$Q$1:$Q$3" noThreeD="1" sel="1" val="0"/>
</file>

<file path=xl/ctrlProps/ctrlProp5.xml><?xml version="1.0" encoding="utf-8"?>
<formControlPr xmlns="http://schemas.microsoft.com/office/spreadsheetml/2009/9/main" objectType="List" dx="22" fmlaRange="$Q$1:$Q$3" noThreeD="1" sel="1" val="0"/>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List" dx="22" fmlaRange="$U$1:$U$16" noThreeD="1" sel="1" val="0"/>
</file>

<file path=xl/ctrlProps/ctrlProp9.xml><?xml version="1.0" encoding="utf-8"?>
<formControlPr xmlns="http://schemas.microsoft.com/office/spreadsheetml/2009/9/main" objectType="List" dx="22" fmlaRange="$V$1:$V$2" noThreeD="1" sel="1" val="0"/>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1162050</xdr:colOff>
          <xdr:row>3</xdr:row>
          <xdr:rowOff>200025</xdr:rowOff>
        </xdr:from>
        <xdr:to>
          <xdr:col>1</xdr:col>
          <xdr:colOff>2171700</xdr:colOff>
          <xdr:row>5</xdr:row>
          <xdr:rowOff>0</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1152525</xdr:colOff>
          <xdr:row>4</xdr:row>
          <xdr:rowOff>180975</xdr:rowOff>
        </xdr:from>
        <xdr:to>
          <xdr:col>1</xdr:col>
          <xdr:colOff>2295525</xdr:colOff>
          <xdr:row>6</xdr:row>
          <xdr:rowOff>57150</xdr:rowOff>
        </xdr:to>
        <xdr:sp macro="" textlink="">
          <xdr:nvSpPr>
            <xdr:cNvPr id="1026" name="Check Box 2" descr="Mobile and Operating systems"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1152525</xdr:colOff>
          <xdr:row>7</xdr:row>
          <xdr:rowOff>171450</xdr:rowOff>
        </xdr:from>
        <xdr:to>
          <xdr:col>1</xdr:col>
          <xdr:colOff>2295525</xdr:colOff>
          <xdr:row>9</xdr:row>
          <xdr:rowOff>38100</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10</xdr:row>
          <xdr:rowOff>38100</xdr:rowOff>
        </xdr:from>
        <xdr:to>
          <xdr:col>1</xdr:col>
          <xdr:colOff>2238375</xdr:colOff>
          <xdr:row>10</xdr:row>
          <xdr:rowOff>333375</xdr:rowOff>
        </xdr:to>
        <xdr:sp macro="" textlink="">
          <xdr:nvSpPr>
            <xdr:cNvPr id="1028" name="List Box 4"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38100</xdr:colOff>
          <xdr:row>11</xdr:row>
          <xdr:rowOff>47625</xdr:rowOff>
        </xdr:from>
        <xdr:to>
          <xdr:col>1</xdr:col>
          <xdr:colOff>2238375</xdr:colOff>
          <xdr:row>11</xdr:row>
          <xdr:rowOff>352425</xdr:rowOff>
        </xdr:to>
        <xdr:sp macro="" textlink="">
          <xdr:nvSpPr>
            <xdr:cNvPr id="1029" name="List Box 5" hidden="1">
              <a:extLst>
                <a:ext uri="{63B3BB69-23CF-44E3-9099-C40C66FF867C}">
                  <a14:compatExt spid="_x0000_s102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66675</xdr:rowOff>
        </xdr:from>
        <xdr:to>
          <xdr:col>1</xdr:col>
          <xdr:colOff>2228850</xdr:colOff>
          <xdr:row>14</xdr:row>
          <xdr:rowOff>304800</xdr:rowOff>
        </xdr:to>
        <xdr:sp macro="" textlink="">
          <xdr:nvSpPr>
            <xdr:cNvPr id="1030" name="TextBox2" hidden="1">
              <a:extLst>
                <a:ext uri="{63B3BB69-23CF-44E3-9099-C40C66FF867C}">
                  <a14:compatExt spid="_x0000_s103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1152525</xdr:colOff>
          <xdr:row>6</xdr:row>
          <xdr:rowOff>9525</xdr:rowOff>
        </xdr:from>
        <xdr:to>
          <xdr:col>1</xdr:col>
          <xdr:colOff>1514475</xdr:colOff>
          <xdr:row>7</xdr:row>
          <xdr:rowOff>0</xdr:rowOff>
        </xdr:to>
        <xdr:sp macro="" textlink="">
          <xdr:nvSpPr>
            <xdr:cNvPr id="1031" name="Check Box 7"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1133475</xdr:colOff>
          <xdr:row>17</xdr:row>
          <xdr:rowOff>38100</xdr:rowOff>
        </xdr:from>
        <xdr:to>
          <xdr:col>1</xdr:col>
          <xdr:colOff>1943100</xdr:colOff>
          <xdr:row>18</xdr:row>
          <xdr:rowOff>19050</xdr:rowOff>
        </xdr:to>
        <xdr:sp macro="" textlink="">
          <xdr:nvSpPr>
            <xdr:cNvPr id="1032" name="Check Box 8" hidden="1">
              <a:extLst>
                <a:ext uri="{63B3BB69-23CF-44E3-9099-C40C66FF867C}">
                  <a14:compatExt spid="_x0000_s10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12</xdr:row>
          <xdr:rowOff>180975</xdr:rowOff>
        </xdr:from>
        <xdr:to>
          <xdr:col>1</xdr:col>
          <xdr:colOff>2228850</xdr:colOff>
          <xdr:row>14</xdr:row>
          <xdr:rowOff>19050</xdr:rowOff>
        </xdr:to>
        <xdr:sp macro="" textlink="">
          <xdr:nvSpPr>
            <xdr:cNvPr id="1033" name="List Box 9" hidden="1">
              <a:extLst>
                <a:ext uri="{63B3BB69-23CF-44E3-9099-C40C66FF867C}">
                  <a14:compatExt spid="_x0000_s103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15</xdr:row>
          <xdr:rowOff>9525</xdr:rowOff>
        </xdr:from>
        <xdr:to>
          <xdr:col>1</xdr:col>
          <xdr:colOff>2228850</xdr:colOff>
          <xdr:row>15</xdr:row>
          <xdr:rowOff>304800</xdr:rowOff>
        </xdr:to>
        <xdr:sp macro="" textlink="">
          <xdr:nvSpPr>
            <xdr:cNvPr id="1034" name="List Box 10" hidden="1">
              <a:extLst>
                <a:ext uri="{63B3BB69-23CF-44E3-9099-C40C66FF867C}">
                  <a14:compatExt spid="_x0000_s103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ables/table1.xml><?xml version="1.0" encoding="utf-8"?>
<table xmlns="http://schemas.openxmlformats.org/spreadsheetml/2006/main" id="1" name="Table1" displayName="Table1" ref="A1:B24" totalsRowShown="0" headerRowDxfId="31" dataDxfId="29" headerRowBorderDxfId="30" tableBorderDxfId="28">
  <autoFilter ref="A1:B24"/>
  <tableColumns count="2">
    <tableColumn id="1" name="SD Level 4" dataDxfId="27"/>
    <tableColumn id="2" name="Progress" dataDxfId="2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3.xml"/><Relationship Id="rId13" Type="http://schemas.openxmlformats.org/officeDocument/2006/relationships/ctrlProp" Target="../ctrlProps/ctrlProp8.xml"/><Relationship Id="rId3" Type="http://schemas.openxmlformats.org/officeDocument/2006/relationships/vmlDrawing" Target="../drawings/vmlDrawing1.vml"/><Relationship Id="rId7" Type="http://schemas.openxmlformats.org/officeDocument/2006/relationships/ctrlProp" Target="../ctrlProps/ctrlProp2.xml"/><Relationship Id="rId12" Type="http://schemas.openxmlformats.org/officeDocument/2006/relationships/ctrlProp" Target="../ctrlProps/ctrlProp7.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1.xml"/><Relationship Id="rId11" Type="http://schemas.openxmlformats.org/officeDocument/2006/relationships/ctrlProp" Target="../ctrlProps/ctrlProp6.xml"/><Relationship Id="rId5" Type="http://schemas.openxmlformats.org/officeDocument/2006/relationships/image" Target="../media/image1.emf"/><Relationship Id="rId15" Type="http://schemas.openxmlformats.org/officeDocument/2006/relationships/table" Target="../tables/table1.xml"/><Relationship Id="rId10" Type="http://schemas.openxmlformats.org/officeDocument/2006/relationships/ctrlProp" Target="../ctrlProps/ctrlProp5.xml"/><Relationship Id="rId4" Type="http://schemas.openxmlformats.org/officeDocument/2006/relationships/control" Target="../activeX/activeX1.xml"/><Relationship Id="rId9" Type="http://schemas.openxmlformats.org/officeDocument/2006/relationships/ctrlProp" Target="../ctrlProps/ctrlProp4.xml"/><Relationship Id="rId14" Type="http://schemas.openxmlformats.org/officeDocument/2006/relationships/ctrlProp" Target="../ctrlProps/ctrlProp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fitToPage="1"/>
  </sheetPr>
  <dimension ref="A1:AF67"/>
  <sheetViews>
    <sheetView zoomScaleNormal="100" workbookViewId="0"/>
  </sheetViews>
  <sheetFormatPr defaultRowHeight="15" x14ac:dyDescent="0.25"/>
  <cols>
    <col min="1" max="1" width="49.42578125" customWidth="1"/>
    <col min="2" max="2" width="34.140625" customWidth="1"/>
    <col min="3" max="3" width="8.85546875" style="81"/>
  </cols>
  <sheetData>
    <row r="1" spans="1:32" ht="33.75" x14ac:dyDescent="0.5">
      <c r="A1" s="56" t="s">
        <v>179</v>
      </c>
      <c r="B1" s="57" t="s">
        <v>180</v>
      </c>
      <c r="C1" s="58"/>
      <c r="D1" s="59"/>
      <c r="E1" s="59"/>
      <c r="F1" s="59"/>
      <c r="G1" s="59"/>
      <c r="H1" s="59"/>
      <c r="I1" s="59"/>
      <c r="J1" s="59"/>
      <c r="K1" s="59"/>
      <c r="L1" s="59"/>
      <c r="M1" s="59"/>
      <c r="N1" s="59"/>
      <c r="O1" s="59"/>
      <c r="P1" s="59"/>
      <c r="Q1" s="58" t="s">
        <v>181</v>
      </c>
      <c r="R1" s="59"/>
      <c r="S1" s="59"/>
      <c r="T1" s="59"/>
      <c r="U1" s="58"/>
      <c r="V1" s="58" t="s">
        <v>182</v>
      </c>
      <c r="W1" s="59"/>
      <c r="X1" s="59"/>
      <c r="Y1" s="59"/>
      <c r="Z1" s="59"/>
      <c r="AA1" s="59"/>
      <c r="AB1" s="59"/>
      <c r="AC1" s="59"/>
      <c r="AD1" s="59"/>
      <c r="AE1" s="59"/>
      <c r="AF1" s="59"/>
    </row>
    <row r="2" spans="1:32" ht="23.25" x14ac:dyDescent="0.35">
      <c r="A2" s="60" t="s">
        <v>183</v>
      </c>
      <c r="B2" s="61">
        <f ca="1">TODAY()</f>
        <v>44119</v>
      </c>
      <c r="C2" s="58"/>
      <c r="D2" s="59"/>
      <c r="E2" s="59"/>
      <c r="F2" s="59"/>
      <c r="G2" s="59"/>
      <c r="H2" s="59"/>
      <c r="I2" s="59"/>
      <c r="J2" s="59"/>
      <c r="K2" s="59"/>
      <c r="L2" s="59"/>
      <c r="M2" s="59"/>
      <c r="N2" s="59"/>
      <c r="O2" s="59"/>
      <c r="P2" s="59"/>
      <c r="Q2" s="58" t="s">
        <v>184</v>
      </c>
      <c r="R2" s="59"/>
      <c r="S2" s="59"/>
      <c r="T2" s="59"/>
      <c r="U2" s="58" t="s">
        <v>185</v>
      </c>
      <c r="V2" s="58" t="s">
        <v>186</v>
      </c>
      <c r="W2" s="59"/>
      <c r="X2" s="59"/>
      <c r="Y2" s="59"/>
      <c r="Z2" s="59"/>
      <c r="AA2" s="59"/>
      <c r="AB2" s="59"/>
      <c r="AC2" s="59"/>
      <c r="AD2" s="59"/>
      <c r="AE2" s="59"/>
      <c r="AF2" s="59"/>
    </row>
    <row r="3" spans="1:32" ht="9" customHeight="1" x14ac:dyDescent="0.3">
      <c r="A3" s="62"/>
      <c r="B3" s="63"/>
      <c r="C3" s="58"/>
      <c r="D3" s="59"/>
      <c r="E3" s="59"/>
      <c r="F3" s="59"/>
      <c r="G3" s="59"/>
      <c r="H3" s="59"/>
      <c r="I3" s="59"/>
      <c r="J3" s="59"/>
      <c r="K3" s="59"/>
      <c r="L3" s="59"/>
      <c r="M3" s="59"/>
      <c r="N3" s="59"/>
      <c r="O3" s="59"/>
      <c r="P3" s="59"/>
      <c r="Q3" s="58"/>
      <c r="R3" s="59"/>
      <c r="S3" s="59"/>
      <c r="T3" s="59"/>
      <c r="U3" s="58" t="s">
        <v>187</v>
      </c>
      <c r="V3" s="58"/>
      <c r="W3" s="59"/>
      <c r="X3" s="59"/>
      <c r="Y3" s="59"/>
      <c r="Z3" s="59"/>
      <c r="AA3" s="59"/>
      <c r="AB3" s="59"/>
      <c r="AC3" s="59"/>
      <c r="AD3" s="59"/>
      <c r="AE3" s="59"/>
      <c r="AF3" s="59"/>
    </row>
    <row r="4" spans="1:32" ht="18.75" x14ac:dyDescent="0.3">
      <c r="A4" s="62" t="s">
        <v>188</v>
      </c>
      <c r="B4" s="63"/>
      <c r="C4" s="58"/>
      <c r="D4" s="59"/>
      <c r="E4" s="59"/>
      <c r="F4" s="59"/>
      <c r="G4" s="59"/>
      <c r="H4" s="59"/>
      <c r="I4" s="59"/>
      <c r="J4" s="59"/>
      <c r="K4" s="59"/>
      <c r="L4" s="59"/>
      <c r="M4" s="59"/>
      <c r="N4" s="59"/>
      <c r="O4" s="59"/>
      <c r="P4" s="59"/>
      <c r="Q4" s="58"/>
      <c r="R4" s="59"/>
      <c r="S4" s="59"/>
      <c r="T4" s="59"/>
      <c r="U4" s="58" t="s">
        <v>189</v>
      </c>
      <c r="V4" s="58"/>
      <c r="W4" s="59"/>
      <c r="X4" s="59"/>
      <c r="Y4" s="59"/>
      <c r="Z4" s="59"/>
      <c r="AA4" s="59"/>
      <c r="AB4" s="59"/>
      <c r="AC4" s="59"/>
      <c r="AD4" s="59"/>
      <c r="AE4" s="59"/>
      <c r="AF4" s="59"/>
    </row>
    <row r="5" spans="1:32" ht="18.75" x14ac:dyDescent="0.3">
      <c r="A5" s="64" t="s">
        <v>190</v>
      </c>
      <c r="B5" s="65"/>
      <c r="C5" s="58" t="b">
        <v>0</v>
      </c>
      <c r="D5" s="59"/>
      <c r="E5" s="59"/>
      <c r="F5" s="59"/>
      <c r="G5" s="59"/>
      <c r="H5" s="59"/>
      <c r="I5" s="59"/>
      <c r="J5" s="59"/>
      <c r="K5" s="59"/>
      <c r="L5" s="59"/>
      <c r="M5" s="59"/>
      <c r="N5" s="59"/>
      <c r="O5" s="59"/>
      <c r="P5" s="59"/>
      <c r="Q5" s="59"/>
      <c r="R5" s="59"/>
      <c r="S5" s="59"/>
      <c r="T5" s="59"/>
      <c r="U5" s="58" t="s">
        <v>191</v>
      </c>
      <c r="V5" s="58"/>
      <c r="W5" s="59"/>
      <c r="X5" s="59"/>
      <c r="Y5" s="59"/>
      <c r="Z5" s="59"/>
      <c r="AA5" s="59"/>
      <c r="AB5" s="59"/>
      <c r="AC5" s="59"/>
      <c r="AD5" s="59"/>
      <c r="AE5" s="59"/>
      <c r="AF5" s="59"/>
    </row>
    <row r="6" spans="1:32" ht="18.75" x14ac:dyDescent="0.3">
      <c r="A6" s="64" t="s">
        <v>192</v>
      </c>
      <c r="B6" s="65"/>
      <c r="C6" s="58"/>
      <c r="D6" s="59"/>
      <c r="E6" s="59"/>
      <c r="F6" s="59"/>
      <c r="G6" s="59"/>
      <c r="H6" s="59"/>
      <c r="I6" s="59"/>
      <c r="J6" s="59"/>
      <c r="K6" s="59"/>
      <c r="L6" s="59"/>
      <c r="M6" s="59"/>
      <c r="N6" s="59"/>
      <c r="O6" s="59"/>
      <c r="P6" s="59"/>
      <c r="Q6" s="59"/>
      <c r="R6" s="59"/>
      <c r="S6" s="59"/>
      <c r="T6" s="59"/>
      <c r="U6" s="58" t="s">
        <v>193</v>
      </c>
      <c r="V6" s="58"/>
      <c r="W6" s="59"/>
      <c r="X6" s="59"/>
      <c r="Y6" s="59"/>
      <c r="Z6" s="59"/>
      <c r="AA6" s="59"/>
      <c r="AB6" s="59"/>
      <c r="AC6" s="59"/>
      <c r="AD6" s="59"/>
      <c r="AE6" s="59"/>
      <c r="AF6" s="59"/>
    </row>
    <row r="7" spans="1:32" ht="18.75" x14ac:dyDescent="0.3">
      <c r="A7" s="64" t="s">
        <v>194</v>
      </c>
      <c r="B7" s="65"/>
      <c r="C7" s="58" t="b">
        <v>0</v>
      </c>
      <c r="D7" s="59"/>
      <c r="E7" s="59"/>
      <c r="F7" s="59"/>
      <c r="G7" s="59"/>
      <c r="H7" s="59"/>
      <c r="I7" s="59"/>
      <c r="J7" s="59"/>
      <c r="K7" s="59"/>
      <c r="L7" s="59"/>
      <c r="M7" s="59"/>
      <c r="N7" s="59"/>
      <c r="O7" s="59"/>
      <c r="P7" s="59"/>
      <c r="Q7" s="59"/>
      <c r="R7" s="59"/>
      <c r="S7" s="59"/>
      <c r="T7" s="59"/>
      <c r="U7" s="58" t="s">
        <v>195</v>
      </c>
      <c r="V7" s="58"/>
      <c r="W7" s="59"/>
      <c r="X7" s="59"/>
      <c r="Y7" s="59"/>
      <c r="Z7" s="59"/>
      <c r="AA7" s="59"/>
      <c r="AB7" s="59"/>
      <c r="AC7" s="59"/>
      <c r="AD7" s="59"/>
      <c r="AE7" s="59"/>
      <c r="AF7" s="59"/>
    </row>
    <row r="8" spans="1:32" ht="18.75" x14ac:dyDescent="0.3">
      <c r="A8" s="66" t="s">
        <v>196</v>
      </c>
      <c r="B8" s="67"/>
      <c r="C8" s="58"/>
      <c r="D8" s="59"/>
      <c r="E8" s="59"/>
      <c r="F8" s="59"/>
      <c r="G8" s="59"/>
      <c r="H8" s="59"/>
      <c r="I8" s="59"/>
      <c r="J8" s="59"/>
      <c r="K8" s="59"/>
      <c r="L8" s="59"/>
      <c r="M8" s="59"/>
      <c r="N8" s="59"/>
      <c r="O8" s="59"/>
      <c r="P8" s="59"/>
      <c r="Q8" s="59"/>
      <c r="R8" s="59"/>
      <c r="S8" s="59"/>
      <c r="T8" s="59"/>
      <c r="U8" s="58" t="s">
        <v>197</v>
      </c>
      <c r="V8" s="58"/>
      <c r="W8" s="59"/>
      <c r="X8" s="59"/>
      <c r="Y8" s="59"/>
      <c r="Z8" s="59"/>
      <c r="AA8" s="59"/>
      <c r="AB8" s="59"/>
      <c r="AC8" s="59"/>
      <c r="AD8" s="59"/>
      <c r="AE8" s="59"/>
      <c r="AF8" s="59"/>
    </row>
    <row r="9" spans="1:32" ht="18.75" x14ac:dyDescent="0.3">
      <c r="A9" s="68" t="s">
        <v>198</v>
      </c>
      <c r="B9" s="69"/>
      <c r="C9" s="58" t="b">
        <v>0</v>
      </c>
      <c r="D9" s="59"/>
      <c r="E9" s="59"/>
      <c r="F9" s="59"/>
      <c r="G9" s="59"/>
      <c r="H9" s="59"/>
      <c r="I9" s="59"/>
      <c r="J9" s="59"/>
      <c r="K9" s="59"/>
      <c r="L9" s="59"/>
      <c r="M9" s="59"/>
      <c r="N9" s="59"/>
      <c r="O9" s="59"/>
      <c r="P9" s="59"/>
      <c r="Q9" s="59"/>
      <c r="R9" s="59"/>
      <c r="S9" s="59"/>
      <c r="T9" s="59"/>
      <c r="U9" s="58" t="s">
        <v>199</v>
      </c>
      <c r="V9" s="58"/>
      <c r="W9" s="59"/>
      <c r="X9" s="59"/>
      <c r="Y9" s="59"/>
      <c r="Z9" s="59"/>
      <c r="AA9" s="59"/>
      <c r="AB9" s="59"/>
      <c r="AC9" s="59"/>
      <c r="AD9" s="59"/>
      <c r="AE9" s="59"/>
      <c r="AF9" s="59"/>
    </row>
    <row r="10" spans="1:32" ht="18.75" x14ac:dyDescent="0.3">
      <c r="A10" s="66" t="s">
        <v>200</v>
      </c>
      <c r="B10" s="67"/>
      <c r="C10" s="58"/>
      <c r="D10" s="59"/>
      <c r="E10" s="59"/>
      <c r="F10" s="59"/>
      <c r="G10" s="59"/>
      <c r="H10" s="59"/>
      <c r="I10" s="59"/>
      <c r="J10" s="59"/>
      <c r="K10" s="59"/>
      <c r="L10" s="59"/>
      <c r="M10" s="59"/>
      <c r="N10" s="59"/>
      <c r="O10" s="59"/>
      <c r="P10" s="59"/>
      <c r="Q10" s="59"/>
      <c r="R10" s="59"/>
      <c r="S10" s="59"/>
      <c r="T10" s="59"/>
      <c r="U10" s="58" t="s">
        <v>201</v>
      </c>
      <c r="V10" s="58"/>
      <c r="W10" s="59"/>
      <c r="X10" s="59"/>
      <c r="Y10" s="59"/>
      <c r="Z10" s="59"/>
      <c r="AA10" s="59"/>
      <c r="AB10" s="59"/>
      <c r="AC10" s="59"/>
      <c r="AD10" s="59"/>
      <c r="AE10" s="59"/>
      <c r="AF10" s="59"/>
    </row>
    <row r="11" spans="1:32" ht="30.6" customHeight="1" x14ac:dyDescent="0.3">
      <c r="A11" s="70" t="s">
        <v>202</v>
      </c>
      <c r="B11" s="65"/>
      <c r="C11" s="58"/>
      <c r="D11" s="59"/>
      <c r="E11" s="59"/>
      <c r="F11" s="59"/>
      <c r="G11" s="59"/>
      <c r="H11" s="59"/>
      <c r="I11" s="59"/>
      <c r="J11" s="59"/>
      <c r="K11" s="59"/>
      <c r="L11" s="59"/>
      <c r="M11" s="59"/>
      <c r="N11" s="59"/>
      <c r="O11" s="59"/>
      <c r="P11" s="59"/>
      <c r="Q11" s="59"/>
      <c r="R11" s="59"/>
      <c r="S11" s="59"/>
      <c r="T11" s="59"/>
      <c r="U11" s="58" t="s">
        <v>203</v>
      </c>
      <c r="V11" s="58"/>
      <c r="W11" s="59"/>
      <c r="X11" s="59"/>
      <c r="Y11" s="59"/>
      <c r="Z11" s="59"/>
      <c r="AA11" s="59"/>
      <c r="AB11" s="59"/>
      <c r="AC11" s="59"/>
      <c r="AD11" s="59"/>
      <c r="AE11" s="59"/>
      <c r="AF11" s="59"/>
    </row>
    <row r="12" spans="1:32" ht="30.6" customHeight="1" x14ac:dyDescent="0.3">
      <c r="A12" s="71" t="s">
        <v>204</v>
      </c>
      <c r="B12" s="69"/>
      <c r="C12" s="58"/>
      <c r="D12" s="59"/>
      <c r="E12" s="59"/>
      <c r="F12" s="59"/>
      <c r="G12" s="59"/>
      <c r="H12" s="59"/>
      <c r="I12" s="59"/>
      <c r="J12" s="59"/>
      <c r="K12" s="59"/>
      <c r="L12" s="59"/>
      <c r="M12" s="59"/>
      <c r="N12" s="59"/>
      <c r="O12" s="59"/>
      <c r="P12" s="59"/>
      <c r="Q12" s="59"/>
      <c r="R12" s="59"/>
      <c r="S12" s="59"/>
      <c r="T12" s="59"/>
      <c r="U12" s="58" t="s">
        <v>205</v>
      </c>
      <c r="V12" s="58"/>
      <c r="W12" s="59"/>
      <c r="X12" s="59"/>
      <c r="Y12" s="59"/>
      <c r="Z12" s="59"/>
      <c r="AA12" s="59"/>
      <c r="AB12" s="59"/>
      <c r="AC12" s="59"/>
      <c r="AD12" s="59"/>
      <c r="AE12" s="59"/>
      <c r="AF12" s="59"/>
    </row>
    <row r="13" spans="1:32" ht="18.75" x14ac:dyDescent="0.3">
      <c r="A13" s="66" t="s">
        <v>206</v>
      </c>
      <c r="B13" s="67"/>
      <c r="C13" s="58"/>
      <c r="D13" s="59"/>
      <c r="E13" s="59"/>
      <c r="F13" s="59"/>
      <c r="G13" s="59"/>
      <c r="H13" s="59"/>
      <c r="I13" s="59"/>
      <c r="J13" s="59"/>
      <c r="K13" s="59"/>
      <c r="L13" s="59"/>
      <c r="M13" s="59"/>
      <c r="N13" s="59"/>
      <c r="O13" s="59"/>
      <c r="P13" s="59"/>
      <c r="Q13" s="59"/>
      <c r="R13" s="59"/>
      <c r="S13" s="59"/>
      <c r="T13" s="59"/>
      <c r="U13" s="58" t="s">
        <v>207</v>
      </c>
      <c r="V13" s="58"/>
      <c r="W13" s="59"/>
      <c r="X13" s="59"/>
      <c r="Y13" s="59"/>
      <c r="Z13" s="59"/>
      <c r="AA13" s="59"/>
      <c r="AB13" s="59"/>
      <c r="AC13" s="59"/>
      <c r="AD13" s="59"/>
      <c r="AE13" s="59"/>
      <c r="AF13" s="59"/>
    </row>
    <row r="14" spans="1:32" ht="18.75" x14ac:dyDescent="0.3">
      <c r="A14" s="64" t="s">
        <v>208</v>
      </c>
      <c r="B14" s="65"/>
      <c r="C14" s="58" t="b">
        <v>0</v>
      </c>
      <c r="D14" s="59"/>
      <c r="E14" s="59"/>
      <c r="F14" s="59"/>
      <c r="G14" s="59"/>
      <c r="H14" s="59"/>
      <c r="I14" s="59"/>
      <c r="J14" s="59"/>
      <c r="K14" s="59"/>
      <c r="L14" s="59"/>
      <c r="M14" s="59"/>
      <c r="N14" s="59"/>
      <c r="O14" s="59"/>
      <c r="P14" s="59"/>
      <c r="Q14" s="59"/>
      <c r="R14" s="59"/>
      <c r="S14" s="59"/>
      <c r="T14" s="59"/>
      <c r="U14" s="58" t="s">
        <v>209</v>
      </c>
      <c r="V14" s="58"/>
      <c r="W14" s="59"/>
      <c r="X14" s="59"/>
      <c r="Y14" s="59"/>
      <c r="Z14" s="59"/>
      <c r="AA14" s="59"/>
      <c r="AB14" s="59"/>
      <c r="AC14" s="59"/>
      <c r="AD14" s="59"/>
      <c r="AE14" s="59"/>
      <c r="AF14" s="59"/>
    </row>
    <row r="15" spans="1:32" ht="27" customHeight="1" x14ac:dyDescent="0.3">
      <c r="A15" s="64" t="s">
        <v>210</v>
      </c>
      <c r="B15" s="65"/>
      <c r="C15" s="58"/>
      <c r="D15" s="59"/>
      <c r="E15" s="59"/>
      <c r="F15" s="59"/>
      <c r="G15" s="59"/>
      <c r="H15" s="59"/>
      <c r="I15" s="59"/>
      <c r="J15" s="59"/>
      <c r="K15" s="59"/>
      <c r="L15" s="59"/>
      <c r="M15" s="59"/>
      <c r="N15" s="59"/>
      <c r="O15" s="59"/>
      <c r="P15" s="59"/>
      <c r="Q15" s="59"/>
      <c r="R15" s="59"/>
      <c r="S15" s="59"/>
      <c r="T15" s="59"/>
      <c r="U15" s="58" t="s">
        <v>211</v>
      </c>
      <c r="V15" s="58"/>
      <c r="W15" s="59"/>
      <c r="X15" s="59"/>
      <c r="Y15" s="59"/>
      <c r="Z15" s="59"/>
      <c r="AA15" s="59"/>
      <c r="AB15" s="59"/>
      <c r="AC15" s="59"/>
      <c r="AD15" s="59"/>
      <c r="AE15" s="59"/>
      <c r="AF15" s="59"/>
    </row>
    <row r="16" spans="1:32" ht="27" customHeight="1" x14ac:dyDescent="0.3">
      <c r="A16" s="68" t="s">
        <v>212</v>
      </c>
      <c r="B16" s="69"/>
      <c r="C16" s="58"/>
      <c r="D16" s="59"/>
      <c r="E16" s="59"/>
      <c r="F16" s="59"/>
      <c r="G16" s="59"/>
      <c r="H16" s="59"/>
      <c r="I16" s="59"/>
      <c r="J16" s="59"/>
      <c r="K16" s="59"/>
      <c r="L16" s="59"/>
      <c r="M16" s="59"/>
      <c r="N16" s="59"/>
      <c r="O16" s="59"/>
      <c r="P16" s="59"/>
      <c r="Q16" s="59"/>
      <c r="R16" s="59"/>
      <c r="S16" s="59"/>
      <c r="T16" s="59"/>
      <c r="U16" s="58" t="s">
        <v>213</v>
      </c>
      <c r="V16" s="58"/>
      <c r="W16" s="59"/>
      <c r="X16" s="59"/>
      <c r="Y16" s="59"/>
      <c r="Z16" s="59"/>
      <c r="AA16" s="59"/>
      <c r="AB16" s="59"/>
      <c r="AC16" s="59"/>
      <c r="AD16" s="59"/>
      <c r="AE16" s="59"/>
      <c r="AF16" s="59"/>
    </row>
    <row r="17" spans="1:32" ht="19.149999999999999" customHeight="1" x14ac:dyDescent="0.3">
      <c r="A17" s="66" t="s">
        <v>214</v>
      </c>
      <c r="B17" s="67"/>
      <c r="C17" s="58"/>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row>
    <row r="18" spans="1:32" ht="19.149999999999999" customHeight="1" x14ac:dyDescent="0.3">
      <c r="A18" s="68" t="s">
        <v>215</v>
      </c>
      <c r="B18" s="69"/>
      <c r="C18" s="58"/>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row>
    <row r="19" spans="1:32" ht="9" customHeight="1" x14ac:dyDescent="0.3">
      <c r="A19" s="72"/>
      <c r="B19" s="73"/>
      <c r="C19" s="58"/>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row>
    <row r="20" spans="1:32" ht="26.25" x14ac:dyDescent="0.4">
      <c r="A20" s="74" t="s">
        <v>216</v>
      </c>
      <c r="B20" s="75">
        <f ca="1">SUM(B2+84)</f>
        <v>44203</v>
      </c>
      <c r="C20" s="58"/>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row>
    <row r="21" spans="1:32" ht="11.25" customHeight="1" x14ac:dyDescent="0.25">
      <c r="A21" s="76" t="s">
        <v>217</v>
      </c>
      <c r="B21" s="77">
        <f ca="1">SUM(B2+21)</f>
        <v>44140</v>
      </c>
      <c r="C21" s="58"/>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row>
    <row r="22" spans="1:32" ht="11.25" customHeight="1" x14ac:dyDescent="0.25">
      <c r="A22" s="76" t="s">
        <v>218</v>
      </c>
      <c r="B22" s="77">
        <f ca="1">SUM(B2+35)</f>
        <v>44154</v>
      </c>
      <c r="C22" s="58"/>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row>
    <row r="23" spans="1:32" ht="11.25" customHeight="1" x14ac:dyDescent="0.25">
      <c r="A23" s="76" t="s">
        <v>219</v>
      </c>
      <c r="B23" s="77">
        <f ca="1">SUM(B2+77)</f>
        <v>44196</v>
      </c>
      <c r="C23" s="58"/>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row>
    <row r="24" spans="1:32" ht="11.25" customHeight="1" x14ac:dyDescent="0.25">
      <c r="A24" s="76" t="s">
        <v>220</v>
      </c>
      <c r="B24" s="78">
        <f ca="1">SUM(B23+5)</f>
        <v>44201</v>
      </c>
      <c r="C24" s="58"/>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row>
    <row r="25" spans="1:32" x14ac:dyDescent="0.25">
      <c r="A25" s="59"/>
      <c r="B25" s="59"/>
      <c r="C25" s="58"/>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row>
    <row r="26" spans="1:32" ht="18.75" x14ac:dyDescent="0.3">
      <c r="A26" s="79" t="s">
        <v>221</v>
      </c>
      <c r="B26" s="80">
        <f ca="1">SUM(B2+90)</f>
        <v>44209</v>
      </c>
      <c r="C26" s="58"/>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row>
    <row r="27" spans="1:32" x14ac:dyDescent="0.25">
      <c r="A27" s="59"/>
      <c r="B27" s="59"/>
      <c r="C27" s="58"/>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row>
    <row r="28" spans="1:32" x14ac:dyDescent="0.25">
      <c r="A28" s="59"/>
      <c r="B28" s="59"/>
      <c r="C28" s="58"/>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row>
    <row r="29" spans="1:32" x14ac:dyDescent="0.25">
      <c r="A29" s="59"/>
      <c r="B29" s="59"/>
      <c r="C29" s="58"/>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row>
    <row r="30" spans="1:32" x14ac:dyDescent="0.25">
      <c r="A30" s="59"/>
      <c r="B30" s="59"/>
      <c r="C30" s="58"/>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row>
    <row r="31" spans="1:32" x14ac:dyDescent="0.25">
      <c r="A31" s="59"/>
      <c r="B31" s="59"/>
      <c r="C31" s="58"/>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row>
    <row r="32" spans="1:32" x14ac:dyDescent="0.25">
      <c r="A32" s="59"/>
      <c r="B32" s="59"/>
      <c r="C32" s="58"/>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row>
    <row r="33" spans="1:32" x14ac:dyDescent="0.25">
      <c r="A33" s="59"/>
      <c r="B33" s="59"/>
      <c r="C33" s="58"/>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row>
    <row r="34" spans="1:32" x14ac:dyDescent="0.25">
      <c r="A34" s="59"/>
      <c r="B34" s="59"/>
      <c r="C34" s="58"/>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row>
    <row r="35" spans="1:32" x14ac:dyDescent="0.25">
      <c r="A35" s="59"/>
      <c r="B35" s="59"/>
      <c r="C35" s="58"/>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row>
    <row r="36" spans="1:32" x14ac:dyDescent="0.25">
      <c r="A36" s="59"/>
      <c r="B36" s="59"/>
      <c r="C36" s="58"/>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row>
    <row r="37" spans="1:32" x14ac:dyDescent="0.25">
      <c r="A37" s="59"/>
      <c r="B37" s="59"/>
      <c r="C37" s="58"/>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row>
    <row r="38" spans="1:32" x14ac:dyDescent="0.25">
      <c r="A38" s="59"/>
      <c r="B38" s="59"/>
      <c r="C38" s="58"/>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row>
    <row r="39" spans="1:32" x14ac:dyDescent="0.25">
      <c r="A39" s="59"/>
      <c r="B39" s="59"/>
      <c r="C39" s="58"/>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row>
    <row r="40" spans="1:32" x14ac:dyDescent="0.25">
      <c r="A40" s="59"/>
      <c r="B40" s="59"/>
      <c r="C40" s="58"/>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row>
    <row r="41" spans="1:32" x14ac:dyDescent="0.25">
      <c r="A41" s="59"/>
      <c r="B41" s="59"/>
      <c r="C41" s="58"/>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row>
    <row r="42" spans="1:32" x14ac:dyDescent="0.25">
      <c r="A42" s="59"/>
      <c r="B42" s="59"/>
      <c r="C42" s="58"/>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row>
    <row r="43" spans="1:32" x14ac:dyDescent="0.25">
      <c r="A43" s="59"/>
      <c r="B43" s="59"/>
      <c r="C43" s="58"/>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row>
    <row r="44" spans="1:32" x14ac:dyDescent="0.25">
      <c r="A44" s="59"/>
      <c r="B44" s="59"/>
      <c r="C44" s="58"/>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row>
    <row r="45" spans="1:32" x14ac:dyDescent="0.25">
      <c r="A45" s="59"/>
      <c r="B45" s="59"/>
      <c r="C45" s="58"/>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row>
    <row r="46" spans="1:32" x14ac:dyDescent="0.25">
      <c r="A46" s="59"/>
      <c r="B46" s="59"/>
      <c r="C46" s="58"/>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row>
    <row r="47" spans="1:32" x14ac:dyDescent="0.25">
      <c r="A47" s="59"/>
      <c r="B47" s="59"/>
      <c r="C47" s="58"/>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row>
    <row r="48" spans="1:32" x14ac:dyDescent="0.25">
      <c r="A48" s="59"/>
      <c r="B48" s="59"/>
      <c r="C48" s="58"/>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row>
    <row r="49" spans="1:32" x14ac:dyDescent="0.25">
      <c r="A49" s="59"/>
      <c r="B49" s="59"/>
      <c r="C49" s="58"/>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row>
    <row r="50" spans="1:32" x14ac:dyDescent="0.25">
      <c r="A50" s="59"/>
      <c r="B50" s="59"/>
      <c r="C50" s="58"/>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row>
    <row r="51" spans="1:32" x14ac:dyDescent="0.25">
      <c r="A51" s="59"/>
      <c r="B51" s="59"/>
      <c r="C51" s="58"/>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row>
    <row r="52" spans="1:32" x14ac:dyDescent="0.25">
      <c r="A52" s="59"/>
      <c r="B52" s="59"/>
      <c r="C52" s="58"/>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row>
    <row r="53" spans="1:32" x14ac:dyDescent="0.25">
      <c r="A53" s="59"/>
      <c r="B53" s="59"/>
      <c r="C53" s="58"/>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row>
    <row r="54" spans="1:32" x14ac:dyDescent="0.25">
      <c r="A54" s="59"/>
      <c r="B54" s="59"/>
      <c r="C54" s="58"/>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row>
    <row r="55" spans="1:32" x14ac:dyDescent="0.25">
      <c r="A55" s="59"/>
      <c r="B55" s="59"/>
      <c r="C55" s="58"/>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row>
    <row r="56" spans="1:32" x14ac:dyDescent="0.25">
      <c r="A56" s="59"/>
      <c r="B56" s="59"/>
      <c r="C56" s="58"/>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row>
    <row r="57" spans="1:32" x14ac:dyDescent="0.25">
      <c r="A57" s="59"/>
      <c r="B57" s="59"/>
      <c r="C57" s="58"/>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row>
    <row r="58" spans="1:32" x14ac:dyDescent="0.25">
      <c r="A58" s="59"/>
      <c r="B58" s="59"/>
      <c r="C58" s="58"/>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row>
    <row r="59" spans="1:32" x14ac:dyDescent="0.25">
      <c r="A59" s="59"/>
      <c r="B59" s="59"/>
      <c r="C59" s="58"/>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row>
    <row r="60" spans="1:32" x14ac:dyDescent="0.25">
      <c r="A60" s="59"/>
      <c r="B60" s="59"/>
      <c r="C60" s="58"/>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row>
    <row r="61" spans="1:32" x14ac:dyDescent="0.25">
      <c r="A61" s="59"/>
      <c r="B61" s="59"/>
      <c r="C61" s="58"/>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row>
    <row r="62" spans="1:32" x14ac:dyDescent="0.25">
      <c r="A62" s="59"/>
      <c r="B62" s="59"/>
      <c r="C62" s="58"/>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row>
    <row r="63" spans="1:32" x14ac:dyDescent="0.25">
      <c r="A63" s="59"/>
      <c r="B63" s="59"/>
      <c r="C63" s="58"/>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row>
    <row r="64" spans="1:32" x14ac:dyDescent="0.25">
      <c r="A64" s="59"/>
      <c r="B64" s="59"/>
      <c r="C64" s="58"/>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row>
    <row r="65" spans="1:32" x14ac:dyDescent="0.25">
      <c r="A65" s="59"/>
      <c r="B65" s="59"/>
      <c r="C65" s="58"/>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row>
    <row r="66" spans="1:32" x14ac:dyDescent="0.25">
      <c r="A66" s="59"/>
      <c r="B66" s="59"/>
      <c r="C66" s="58"/>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row>
    <row r="67" spans="1:32" x14ac:dyDescent="0.25">
      <c r="A67" s="59"/>
      <c r="B67" s="59"/>
      <c r="C67" s="58"/>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row>
  </sheetData>
  <pageMargins left="0.7" right="0.7" top="0.75" bottom="0.75" header="0.3" footer="0.3"/>
  <pageSetup paperSize="9" orientation="portrait" r:id="rId1"/>
  <drawing r:id="rId2"/>
  <legacyDrawing r:id="rId3"/>
  <controls>
    <mc:AlternateContent xmlns:mc="http://schemas.openxmlformats.org/markup-compatibility/2006">
      <mc:Choice Requires="x14">
        <control shapeId="1030" r:id="rId4" name="TextBox2">
          <controlPr defaultSize="0" autoLine="0" r:id="rId5">
            <anchor moveWithCells="1">
              <from>
                <xdr:col>1</xdr:col>
                <xdr:colOff>19050</xdr:colOff>
                <xdr:row>14</xdr:row>
                <xdr:rowOff>66675</xdr:rowOff>
              </from>
              <to>
                <xdr:col>1</xdr:col>
                <xdr:colOff>2228850</xdr:colOff>
                <xdr:row>14</xdr:row>
                <xdr:rowOff>304800</xdr:rowOff>
              </to>
            </anchor>
          </controlPr>
        </control>
      </mc:Choice>
      <mc:Fallback>
        <control shapeId="1030" r:id="rId4" name="TextBox2"/>
      </mc:Fallback>
    </mc:AlternateContent>
    <mc:AlternateContent xmlns:mc="http://schemas.openxmlformats.org/markup-compatibility/2006">
      <mc:Choice Requires="x14">
        <control shapeId="1025" r:id="rId6" name="Check Box 1">
          <controlPr defaultSize="0" autoFill="0" autoLine="0" autoPict="0">
            <anchor moveWithCells="1">
              <from>
                <xdr:col>1</xdr:col>
                <xdr:colOff>1162050</xdr:colOff>
                <xdr:row>3</xdr:row>
                <xdr:rowOff>200025</xdr:rowOff>
              </from>
              <to>
                <xdr:col>1</xdr:col>
                <xdr:colOff>2171700</xdr:colOff>
                <xdr:row>5</xdr:row>
                <xdr:rowOff>0</xdr:rowOff>
              </to>
            </anchor>
          </controlPr>
        </control>
      </mc:Choice>
    </mc:AlternateContent>
    <mc:AlternateContent xmlns:mc="http://schemas.openxmlformats.org/markup-compatibility/2006">
      <mc:Choice Requires="x14">
        <control shapeId="1026" r:id="rId7" name="Check Box 2">
          <controlPr defaultSize="0" autoFill="0" autoLine="0" autoPict="0" altText="Mobile and Operating systems">
            <anchor moveWithCells="1">
              <from>
                <xdr:col>1</xdr:col>
                <xdr:colOff>1152525</xdr:colOff>
                <xdr:row>4</xdr:row>
                <xdr:rowOff>180975</xdr:rowOff>
              </from>
              <to>
                <xdr:col>1</xdr:col>
                <xdr:colOff>2295525</xdr:colOff>
                <xdr:row>6</xdr:row>
                <xdr:rowOff>57150</xdr:rowOff>
              </to>
            </anchor>
          </controlPr>
        </control>
      </mc:Choice>
    </mc:AlternateContent>
    <mc:AlternateContent xmlns:mc="http://schemas.openxmlformats.org/markup-compatibility/2006">
      <mc:Choice Requires="x14">
        <control shapeId="1027" r:id="rId8" name="Check Box 3">
          <controlPr defaultSize="0" autoFill="0" autoLine="0" autoPict="0">
            <anchor moveWithCells="1">
              <from>
                <xdr:col>1</xdr:col>
                <xdr:colOff>1152525</xdr:colOff>
                <xdr:row>7</xdr:row>
                <xdr:rowOff>171450</xdr:rowOff>
              </from>
              <to>
                <xdr:col>1</xdr:col>
                <xdr:colOff>2295525</xdr:colOff>
                <xdr:row>9</xdr:row>
                <xdr:rowOff>38100</xdr:rowOff>
              </to>
            </anchor>
          </controlPr>
        </control>
      </mc:Choice>
    </mc:AlternateContent>
    <mc:AlternateContent xmlns:mc="http://schemas.openxmlformats.org/markup-compatibility/2006">
      <mc:Choice Requires="x14">
        <control shapeId="1028" r:id="rId9" name="List Box 4">
          <controlPr defaultSize="0" autoLine="0" autoPict="0">
            <anchor moveWithCells="1">
              <from>
                <xdr:col>1</xdr:col>
                <xdr:colOff>47625</xdr:colOff>
                <xdr:row>10</xdr:row>
                <xdr:rowOff>38100</xdr:rowOff>
              </from>
              <to>
                <xdr:col>1</xdr:col>
                <xdr:colOff>2238375</xdr:colOff>
                <xdr:row>10</xdr:row>
                <xdr:rowOff>333375</xdr:rowOff>
              </to>
            </anchor>
          </controlPr>
        </control>
      </mc:Choice>
    </mc:AlternateContent>
    <mc:AlternateContent xmlns:mc="http://schemas.openxmlformats.org/markup-compatibility/2006">
      <mc:Choice Requires="x14">
        <control shapeId="1029" r:id="rId10" name="List Box 5">
          <controlPr defaultSize="0" autoLine="0" autoPict="0">
            <anchor moveWithCells="1">
              <from>
                <xdr:col>1</xdr:col>
                <xdr:colOff>38100</xdr:colOff>
                <xdr:row>11</xdr:row>
                <xdr:rowOff>47625</xdr:rowOff>
              </from>
              <to>
                <xdr:col>1</xdr:col>
                <xdr:colOff>2238375</xdr:colOff>
                <xdr:row>11</xdr:row>
                <xdr:rowOff>352425</xdr:rowOff>
              </to>
            </anchor>
          </controlPr>
        </control>
      </mc:Choice>
    </mc:AlternateContent>
    <mc:AlternateContent xmlns:mc="http://schemas.openxmlformats.org/markup-compatibility/2006">
      <mc:Choice Requires="x14">
        <control shapeId="1031" r:id="rId11" name="Check Box 7">
          <controlPr defaultSize="0" autoFill="0" autoLine="0" autoPict="0">
            <anchor moveWithCells="1">
              <from>
                <xdr:col>1</xdr:col>
                <xdr:colOff>1152525</xdr:colOff>
                <xdr:row>6</xdr:row>
                <xdr:rowOff>9525</xdr:rowOff>
              </from>
              <to>
                <xdr:col>1</xdr:col>
                <xdr:colOff>1514475</xdr:colOff>
                <xdr:row>7</xdr:row>
                <xdr:rowOff>0</xdr:rowOff>
              </to>
            </anchor>
          </controlPr>
        </control>
      </mc:Choice>
    </mc:AlternateContent>
    <mc:AlternateContent xmlns:mc="http://schemas.openxmlformats.org/markup-compatibility/2006">
      <mc:Choice Requires="x14">
        <control shapeId="1032" r:id="rId12" name="Check Box 8">
          <controlPr defaultSize="0" autoFill="0" autoLine="0" autoPict="0">
            <anchor moveWithCells="1">
              <from>
                <xdr:col>1</xdr:col>
                <xdr:colOff>1133475</xdr:colOff>
                <xdr:row>17</xdr:row>
                <xdr:rowOff>38100</xdr:rowOff>
              </from>
              <to>
                <xdr:col>1</xdr:col>
                <xdr:colOff>1943100</xdr:colOff>
                <xdr:row>18</xdr:row>
                <xdr:rowOff>19050</xdr:rowOff>
              </to>
            </anchor>
          </controlPr>
        </control>
      </mc:Choice>
    </mc:AlternateContent>
    <mc:AlternateContent xmlns:mc="http://schemas.openxmlformats.org/markup-compatibility/2006">
      <mc:Choice Requires="x14">
        <control shapeId="1033" r:id="rId13" name="List Box 9">
          <controlPr defaultSize="0" autoLine="0" autoPict="0">
            <anchor moveWithCells="1">
              <from>
                <xdr:col>1</xdr:col>
                <xdr:colOff>28575</xdr:colOff>
                <xdr:row>12</xdr:row>
                <xdr:rowOff>180975</xdr:rowOff>
              </from>
              <to>
                <xdr:col>1</xdr:col>
                <xdr:colOff>2228850</xdr:colOff>
                <xdr:row>14</xdr:row>
                <xdr:rowOff>19050</xdr:rowOff>
              </to>
            </anchor>
          </controlPr>
        </control>
      </mc:Choice>
    </mc:AlternateContent>
    <mc:AlternateContent xmlns:mc="http://schemas.openxmlformats.org/markup-compatibility/2006">
      <mc:Choice Requires="x14">
        <control shapeId="1034" r:id="rId14" name="List Box 10">
          <controlPr defaultSize="0" autoLine="0" autoPict="0">
            <anchor moveWithCells="1">
              <from>
                <xdr:col>1</xdr:col>
                <xdr:colOff>28575</xdr:colOff>
                <xdr:row>15</xdr:row>
                <xdr:rowOff>9525</xdr:rowOff>
              </from>
              <to>
                <xdr:col>1</xdr:col>
                <xdr:colOff>2228850</xdr:colOff>
                <xdr:row>15</xdr:row>
                <xdr:rowOff>304800</xdr:rowOff>
              </to>
            </anchor>
          </controlPr>
        </control>
      </mc:Choice>
    </mc:AlternateContent>
  </controls>
  <tableParts count="1">
    <tablePart r:id="rId1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60"/>
  <sheetViews>
    <sheetView tabSelected="1" zoomScale="85" zoomScaleNormal="85" workbookViewId="0">
      <selection activeCell="C8" sqref="C8:C16"/>
    </sheetView>
  </sheetViews>
  <sheetFormatPr defaultRowHeight="15" x14ac:dyDescent="0.25"/>
  <cols>
    <col min="2" max="2" width="59.42578125" customWidth="1"/>
    <col min="3" max="3" width="40.28515625" customWidth="1"/>
    <col min="4" max="4" width="17.7109375" customWidth="1"/>
    <col min="5" max="5" width="17.42578125" customWidth="1"/>
    <col min="6" max="6" width="13.28515625" customWidth="1"/>
    <col min="7" max="7" width="33.7109375" customWidth="1"/>
    <col min="8" max="8" width="12.42578125" style="13" customWidth="1"/>
    <col min="9" max="9" width="15.28515625" style="13" customWidth="1"/>
    <col min="10" max="10" width="13.85546875" style="13" customWidth="1"/>
    <col min="11" max="11" width="32.42578125" style="13" customWidth="1"/>
    <col min="12" max="12" width="17.7109375" style="13" customWidth="1"/>
    <col min="13" max="13" width="29.28515625" style="13" customWidth="1"/>
    <col min="14" max="14" width="16.5703125" style="13" customWidth="1"/>
    <col min="15" max="15" width="32.140625" style="13" customWidth="1"/>
  </cols>
  <sheetData>
    <row r="1" spans="1:20" ht="14.45" customHeight="1" x14ac:dyDescent="0.25">
      <c r="A1" s="91" t="s">
        <v>11</v>
      </c>
      <c r="B1" s="91"/>
      <c r="C1" s="91"/>
      <c r="D1" s="91"/>
      <c r="E1" s="91"/>
      <c r="F1" s="91"/>
      <c r="G1" s="91"/>
      <c r="H1" s="91"/>
      <c r="I1" s="91"/>
      <c r="J1" s="91"/>
      <c r="K1" s="91"/>
      <c r="L1" s="91"/>
      <c r="M1" s="91"/>
      <c r="N1" s="91"/>
      <c r="O1" s="91"/>
    </row>
    <row r="2" spans="1:20" ht="14.45" customHeight="1" thickBot="1" x14ac:dyDescent="0.3">
      <c r="A2" s="91"/>
      <c r="B2" s="91"/>
      <c r="C2" s="91"/>
      <c r="D2" s="91"/>
      <c r="E2" s="91"/>
      <c r="F2" s="91"/>
      <c r="G2" s="91"/>
      <c r="H2" s="91"/>
      <c r="I2" s="91"/>
      <c r="J2" s="91"/>
      <c r="K2" s="91"/>
      <c r="L2" s="91"/>
      <c r="M2" s="91"/>
      <c r="N2" s="91"/>
      <c r="O2" s="91"/>
    </row>
    <row r="3" spans="1:20" ht="103.9" customHeight="1" thickBot="1" x14ac:dyDescent="0.3">
      <c r="A3" s="92" t="s">
        <v>178</v>
      </c>
      <c r="B3" s="93"/>
      <c r="C3" s="94"/>
      <c r="D3" s="88" t="s">
        <v>9</v>
      </c>
      <c r="E3" s="89"/>
      <c r="F3" s="89"/>
      <c r="G3" s="89"/>
      <c r="H3" s="109" t="s">
        <v>9</v>
      </c>
      <c r="I3" s="89"/>
      <c r="J3" s="89"/>
      <c r="K3" s="110"/>
      <c r="L3" s="109" t="s">
        <v>9</v>
      </c>
      <c r="M3" s="89"/>
      <c r="N3" s="89"/>
      <c r="O3" s="110"/>
      <c r="P3" s="30"/>
      <c r="Q3" s="30"/>
      <c r="R3" s="26"/>
      <c r="S3" s="26"/>
      <c r="T3" s="26"/>
    </row>
    <row r="4" spans="1:20" ht="14.65" customHeight="1" x14ac:dyDescent="0.25">
      <c r="A4" s="103" t="s">
        <v>10</v>
      </c>
      <c r="B4" s="104"/>
      <c r="C4" s="105"/>
      <c r="D4" s="119" t="s">
        <v>89</v>
      </c>
      <c r="E4" s="82" t="s">
        <v>174</v>
      </c>
      <c r="F4" s="82" t="s">
        <v>175</v>
      </c>
      <c r="G4" s="116" t="s">
        <v>85</v>
      </c>
      <c r="H4" s="119" t="s">
        <v>89</v>
      </c>
      <c r="I4" s="82" t="s">
        <v>84</v>
      </c>
      <c r="J4" s="82" t="s">
        <v>176</v>
      </c>
      <c r="K4" s="85" t="s">
        <v>85</v>
      </c>
      <c r="L4" s="121" t="s">
        <v>89</v>
      </c>
      <c r="M4" s="83" t="s">
        <v>84</v>
      </c>
      <c r="N4" s="83" t="s">
        <v>0</v>
      </c>
      <c r="O4" s="116" t="s">
        <v>85</v>
      </c>
      <c r="P4" s="30"/>
      <c r="Q4" s="26"/>
      <c r="R4" s="26"/>
      <c r="S4" s="26"/>
      <c r="T4" s="26"/>
    </row>
    <row r="5" spans="1:20" ht="14.65" customHeight="1" thickBot="1" x14ac:dyDescent="0.3">
      <c r="A5" s="106"/>
      <c r="B5" s="107"/>
      <c r="C5" s="108"/>
      <c r="D5" s="119"/>
      <c r="E5" s="83"/>
      <c r="F5" s="83"/>
      <c r="G5" s="117"/>
      <c r="H5" s="119"/>
      <c r="I5" s="83"/>
      <c r="J5" s="83"/>
      <c r="K5" s="86"/>
      <c r="L5" s="121"/>
      <c r="M5" s="83"/>
      <c r="N5" s="83"/>
      <c r="O5" s="117"/>
      <c r="P5" s="30"/>
      <c r="Q5" s="30"/>
      <c r="R5" s="30"/>
      <c r="S5" s="30"/>
      <c r="T5" s="30"/>
    </row>
    <row r="6" spans="1:20" ht="30" customHeight="1" thickBot="1" x14ac:dyDescent="0.3">
      <c r="A6" s="97" t="s">
        <v>86</v>
      </c>
      <c r="B6" s="98"/>
      <c r="C6" s="99"/>
      <c r="D6" s="120"/>
      <c r="E6" s="84"/>
      <c r="F6" s="84"/>
      <c r="G6" s="118"/>
      <c r="H6" s="120"/>
      <c r="I6" s="84"/>
      <c r="J6" s="84"/>
      <c r="K6" s="87"/>
      <c r="L6" s="122"/>
      <c r="M6" s="84"/>
      <c r="N6" s="84"/>
      <c r="O6" s="118"/>
      <c r="P6" s="30"/>
      <c r="Q6" s="30"/>
      <c r="R6" s="30"/>
      <c r="S6" s="30"/>
      <c r="T6" s="30"/>
    </row>
    <row r="7" spans="1:20" ht="30" customHeight="1" thickBot="1" x14ac:dyDescent="0.3">
      <c r="A7" s="113">
        <v>1.1000000000000001</v>
      </c>
      <c r="B7" s="111" t="s">
        <v>1</v>
      </c>
      <c r="C7" s="112"/>
      <c r="D7" s="5"/>
      <c r="E7" s="6"/>
      <c r="F7" s="7" t="s">
        <v>83</v>
      </c>
      <c r="G7" s="8"/>
      <c r="H7" s="6"/>
      <c r="I7" s="4"/>
      <c r="J7" s="7" t="s">
        <v>83</v>
      </c>
      <c r="K7" s="16"/>
      <c r="L7" s="17"/>
      <c r="M7" s="4"/>
      <c r="N7" s="7" t="s">
        <v>83</v>
      </c>
      <c r="O7" s="18"/>
      <c r="P7" s="30"/>
      <c r="Q7" s="30"/>
      <c r="R7" s="30"/>
      <c r="S7" s="30"/>
      <c r="T7" s="30"/>
    </row>
    <row r="8" spans="1:20" ht="51.4" customHeight="1" x14ac:dyDescent="0.25">
      <c r="A8" s="114"/>
      <c r="B8" s="27" t="s">
        <v>78</v>
      </c>
      <c r="C8" s="90" t="s">
        <v>12</v>
      </c>
      <c r="D8" s="9"/>
      <c r="E8" s="4"/>
      <c r="F8" s="22"/>
      <c r="G8" s="8"/>
      <c r="H8" s="4"/>
      <c r="I8" s="4"/>
      <c r="J8" s="22"/>
      <c r="K8" s="16"/>
      <c r="L8" s="17"/>
      <c r="M8" s="4"/>
      <c r="N8" s="22"/>
      <c r="O8" s="18"/>
      <c r="P8" s="30"/>
      <c r="Q8" s="30"/>
      <c r="R8" s="30"/>
      <c r="S8" s="30"/>
      <c r="T8" s="30"/>
    </row>
    <row r="9" spans="1:20" ht="26.65" customHeight="1" x14ac:dyDescent="0.25">
      <c r="A9" s="114"/>
      <c r="B9" s="28" t="s">
        <v>79</v>
      </c>
      <c r="C9" s="90"/>
      <c r="D9" s="9"/>
      <c r="E9" s="4"/>
      <c r="F9" s="22"/>
      <c r="G9" s="8"/>
      <c r="H9" s="4"/>
      <c r="I9" s="14"/>
      <c r="J9" s="22"/>
      <c r="K9" s="16"/>
      <c r="L9" s="17"/>
      <c r="M9" s="4"/>
      <c r="N9" s="22"/>
      <c r="O9" s="18"/>
    </row>
    <row r="10" spans="1:20" ht="27.4" customHeight="1" x14ac:dyDescent="0.25">
      <c r="A10" s="114"/>
      <c r="B10" s="28" t="s">
        <v>16</v>
      </c>
      <c r="C10" s="90"/>
      <c r="D10" s="9"/>
      <c r="E10" s="4"/>
      <c r="F10" s="22"/>
      <c r="G10" s="8"/>
      <c r="H10" s="6"/>
      <c r="I10" s="14"/>
      <c r="J10" s="22"/>
      <c r="K10" s="16"/>
      <c r="L10" s="17"/>
      <c r="M10" s="4"/>
      <c r="N10" s="22"/>
      <c r="O10" s="18"/>
    </row>
    <row r="11" spans="1:20" ht="27.4" customHeight="1" x14ac:dyDescent="0.25">
      <c r="A11" s="114"/>
      <c r="B11" s="28" t="s">
        <v>15</v>
      </c>
      <c r="C11" s="90"/>
      <c r="D11" s="9"/>
      <c r="E11" s="1"/>
      <c r="F11" s="22"/>
      <c r="G11" s="8"/>
      <c r="H11" s="4"/>
      <c r="I11" s="14"/>
      <c r="J11" s="22"/>
      <c r="K11" s="16"/>
      <c r="L11" s="17"/>
      <c r="M11" s="4"/>
      <c r="N11" s="22"/>
      <c r="O11" s="18"/>
    </row>
    <row r="12" spans="1:20" ht="31.9" customHeight="1" x14ac:dyDescent="0.25">
      <c r="A12" s="114"/>
      <c r="B12" s="28" t="s">
        <v>14</v>
      </c>
      <c r="C12" s="90"/>
      <c r="D12" s="9"/>
      <c r="E12" s="1"/>
      <c r="F12" s="22"/>
      <c r="G12" s="8"/>
      <c r="H12" s="4"/>
      <c r="I12" s="14"/>
      <c r="J12" s="22"/>
      <c r="K12" s="16"/>
      <c r="L12" s="17"/>
      <c r="M12" s="4"/>
      <c r="N12" s="22"/>
      <c r="O12" s="18"/>
    </row>
    <row r="13" spans="1:20" ht="33.4" customHeight="1" x14ac:dyDescent="0.25">
      <c r="A13" s="114"/>
      <c r="B13" s="28" t="s">
        <v>13</v>
      </c>
      <c r="C13" s="90"/>
      <c r="D13" s="9"/>
      <c r="E13" s="1"/>
      <c r="F13" s="22"/>
      <c r="G13" s="8"/>
      <c r="H13" s="6"/>
      <c r="I13" s="14"/>
      <c r="J13" s="22"/>
      <c r="K13" s="16"/>
      <c r="L13" s="17"/>
      <c r="M13" s="4"/>
      <c r="N13" s="22"/>
      <c r="O13" s="18"/>
    </row>
    <row r="14" spans="1:20" ht="57" customHeight="1" x14ac:dyDescent="0.25">
      <c r="A14" s="114"/>
      <c r="B14" s="28" t="s">
        <v>17</v>
      </c>
      <c r="C14" s="90"/>
      <c r="D14" s="9"/>
      <c r="E14" s="1"/>
      <c r="F14" s="22"/>
      <c r="G14" s="8"/>
      <c r="H14" s="4"/>
      <c r="I14" s="14"/>
      <c r="J14" s="22"/>
      <c r="K14" s="16"/>
      <c r="L14" s="17"/>
      <c r="M14" s="4"/>
      <c r="N14" s="22"/>
      <c r="O14" s="18"/>
    </row>
    <row r="15" spans="1:20" ht="57" customHeight="1" x14ac:dyDescent="0.25">
      <c r="A15" s="114"/>
      <c r="B15" s="28" t="s">
        <v>18</v>
      </c>
      <c r="C15" s="90"/>
      <c r="D15" s="9"/>
      <c r="E15" s="1"/>
      <c r="F15" s="22"/>
      <c r="G15" s="8"/>
      <c r="H15" s="4"/>
      <c r="I15" s="14"/>
      <c r="J15" s="22"/>
      <c r="K15" s="16"/>
      <c r="L15" s="17"/>
      <c r="M15" s="4"/>
      <c r="N15" s="22"/>
      <c r="O15" s="18"/>
    </row>
    <row r="16" spans="1:20" ht="57" customHeight="1" thickBot="1" x14ac:dyDescent="0.3">
      <c r="A16" s="115"/>
      <c r="B16" s="29" t="s">
        <v>19</v>
      </c>
      <c r="C16" s="90"/>
      <c r="D16" s="9"/>
      <c r="E16" s="1"/>
      <c r="F16" s="22"/>
      <c r="G16" s="8"/>
      <c r="H16" s="6"/>
      <c r="I16" s="14"/>
      <c r="J16" s="22"/>
      <c r="K16" s="16"/>
      <c r="L16" s="17"/>
      <c r="M16" s="4"/>
      <c r="N16" s="22"/>
      <c r="O16" s="18"/>
    </row>
    <row r="17" spans="1:15" ht="28.5" customHeight="1" thickBot="1" x14ac:dyDescent="0.3">
      <c r="A17" s="100">
        <v>1.2</v>
      </c>
      <c r="B17" s="111" t="s">
        <v>6</v>
      </c>
      <c r="C17" s="112"/>
      <c r="D17" s="43"/>
      <c r="E17" s="44"/>
      <c r="F17" s="45"/>
      <c r="G17" s="46"/>
      <c r="H17" s="47"/>
      <c r="I17" s="48"/>
      <c r="J17" s="45"/>
      <c r="K17" s="49"/>
      <c r="L17" s="50"/>
      <c r="M17" s="47"/>
      <c r="N17" s="45"/>
      <c r="O17" s="51"/>
    </row>
    <row r="18" spans="1:15" ht="52.15" customHeight="1" x14ac:dyDescent="0.25">
      <c r="A18" s="101"/>
      <c r="B18" s="27" t="s">
        <v>90</v>
      </c>
      <c r="C18" s="90" t="s">
        <v>20</v>
      </c>
      <c r="D18" s="9"/>
      <c r="E18" s="3"/>
      <c r="F18" s="22"/>
      <c r="G18" s="8"/>
      <c r="H18" s="4"/>
      <c r="I18" s="14"/>
      <c r="J18" s="22"/>
      <c r="K18" s="16"/>
      <c r="L18" s="17"/>
      <c r="M18" s="4"/>
      <c r="N18" s="22"/>
      <c r="O18" s="18"/>
    </row>
    <row r="19" spans="1:15" ht="52.15" customHeight="1" x14ac:dyDescent="0.25">
      <c r="A19" s="101"/>
      <c r="B19" s="28" t="s">
        <v>21</v>
      </c>
      <c r="C19" s="90"/>
      <c r="D19" s="9"/>
      <c r="E19" s="3"/>
      <c r="F19" s="22"/>
      <c r="G19" s="8"/>
      <c r="H19" s="6"/>
      <c r="I19" s="14"/>
      <c r="J19" s="22"/>
      <c r="K19" s="16"/>
      <c r="L19" s="17"/>
      <c r="M19" s="4"/>
      <c r="N19" s="22"/>
      <c r="O19" s="18"/>
    </row>
    <row r="20" spans="1:15" ht="37.5" customHeight="1" thickBot="1" x14ac:dyDescent="0.3">
      <c r="A20" s="102"/>
      <c r="B20" s="29" t="s">
        <v>22</v>
      </c>
      <c r="C20" s="90"/>
      <c r="D20" s="9"/>
      <c r="E20" s="3"/>
      <c r="F20" s="22"/>
      <c r="G20" s="8"/>
      <c r="H20" s="4"/>
      <c r="I20" s="14"/>
      <c r="J20" s="22"/>
      <c r="K20" s="16"/>
      <c r="L20" s="17"/>
      <c r="M20" s="4"/>
      <c r="N20" s="22"/>
      <c r="O20" s="18"/>
    </row>
    <row r="21" spans="1:15" ht="21.4" customHeight="1" thickBot="1" x14ac:dyDescent="0.3">
      <c r="A21" s="101">
        <v>1.3</v>
      </c>
      <c r="B21" s="95" t="s">
        <v>2</v>
      </c>
      <c r="C21" s="96"/>
      <c r="D21" s="43"/>
      <c r="E21" s="52"/>
      <c r="F21" s="45"/>
      <c r="G21" s="46"/>
      <c r="H21" s="47"/>
      <c r="I21" s="48"/>
      <c r="J21" s="45"/>
      <c r="K21" s="49"/>
      <c r="L21" s="50"/>
      <c r="M21" s="47"/>
      <c r="N21" s="45"/>
      <c r="O21" s="51"/>
    </row>
    <row r="22" spans="1:15" ht="32.25" customHeight="1" x14ac:dyDescent="0.25">
      <c r="A22" s="101"/>
      <c r="B22" s="27" t="s">
        <v>24</v>
      </c>
      <c r="C22" s="90" t="s">
        <v>23</v>
      </c>
      <c r="D22" s="9"/>
      <c r="E22" s="3"/>
      <c r="F22" s="22"/>
      <c r="G22" s="8"/>
      <c r="H22" s="6"/>
      <c r="I22" s="14"/>
      <c r="J22" s="22"/>
      <c r="K22" s="16"/>
      <c r="L22" s="17"/>
      <c r="M22" s="4"/>
      <c r="N22" s="22"/>
      <c r="O22" s="18"/>
    </row>
    <row r="23" spans="1:15" ht="32.25" customHeight="1" x14ac:dyDescent="0.25">
      <c r="A23" s="101"/>
      <c r="B23" s="28" t="s">
        <v>25</v>
      </c>
      <c r="C23" s="90"/>
      <c r="D23" s="9"/>
      <c r="E23" s="3"/>
      <c r="F23" s="22"/>
      <c r="G23" s="8"/>
      <c r="H23" s="4"/>
      <c r="I23" s="14"/>
      <c r="J23" s="22"/>
      <c r="K23" s="16"/>
      <c r="L23" s="17"/>
      <c r="M23" s="4"/>
      <c r="N23" s="22"/>
      <c r="O23" s="18"/>
    </row>
    <row r="24" spans="1:15" ht="32.25" customHeight="1" x14ac:dyDescent="0.25">
      <c r="A24" s="101"/>
      <c r="B24" s="28" t="s">
        <v>26</v>
      </c>
      <c r="C24" s="90"/>
      <c r="D24" s="9"/>
      <c r="E24" s="3"/>
      <c r="F24" s="22"/>
      <c r="G24" s="8"/>
      <c r="H24" s="4"/>
      <c r="I24" s="14"/>
      <c r="J24" s="22"/>
      <c r="K24" s="16"/>
      <c r="L24" s="17"/>
      <c r="M24" s="4"/>
      <c r="N24" s="22"/>
      <c r="O24" s="18"/>
    </row>
    <row r="25" spans="1:15" ht="43.15" customHeight="1" thickBot="1" x14ac:dyDescent="0.3">
      <c r="A25" s="101"/>
      <c r="B25" s="29" t="s">
        <v>27</v>
      </c>
      <c r="C25" s="90"/>
      <c r="D25" s="9"/>
      <c r="E25" s="1"/>
      <c r="F25" s="22"/>
      <c r="G25" s="8"/>
      <c r="H25" s="6"/>
      <c r="I25" s="14"/>
      <c r="J25" s="22"/>
      <c r="K25" s="16"/>
      <c r="L25" s="17"/>
      <c r="M25" s="4"/>
      <c r="N25" s="22"/>
      <c r="O25" s="18"/>
    </row>
    <row r="26" spans="1:15" ht="23.25" thickBot="1" x14ac:dyDescent="0.3">
      <c r="A26" s="100">
        <v>1.4</v>
      </c>
      <c r="B26" s="111" t="s">
        <v>3</v>
      </c>
      <c r="C26" s="112"/>
      <c r="D26" s="43"/>
      <c r="E26" s="44"/>
      <c r="F26" s="45"/>
      <c r="G26" s="46"/>
      <c r="H26" s="47"/>
      <c r="I26" s="48"/>
      <c r="J26" s="45"/>
      <c r="K26" s="49"/>
      <c r="L26" s="50"/>
      <c r="M26" s="47"/>
      <c r="N26" s="45"/>
      <c r="O26" s="51"/>
    </row>
    <row r="27" spans="1:15" ht="25.15" customHeight="1" x14ac:dyDescent="0.25">
      <c r="A27" s="101"/>
      <c r="B27" s="27" t="s">
        <v>80</v>
      </c>
      <c r="C27" s="90" t="s">
        <v>28</v>
      </c>
      <c r="D27" s="9"/>
      <c r="E27" s="1"/>
      <c r="F27" s="22"/>
      <c r="G27" s="8"/>
      <c r="H27" s="4"/>
      <c r="I27" s="14"/>
      <c r="J27" s="22"/>
      <c r="K27" s="16"/>
      <c r="L27" s="17"/>
      <c r="M27" s="4"/>
      <c r="N27" s="22"/>
      <c r="O27" s="18"/>
    </row>
    <row r="28" spans="1:15" ht="31.5" customHeight="1" x14ac:dyDescent="0.25">
      <c r="A28" s="101"/>
      <c r="B28" s="28" t="s">
        <v>29</v>
      </c>
      <c r="C28" s="90"/>
      <c r="D28" s="9"/>
      <c r="E28" s="1"/>
      <c r="F28" s="22"/>
      <c r="G28" s="8"/>
      <c r="H28" s="6"/>
      <c r="I28" s="14"/>
      <c r="J28" s="22"/>
      <c r="K28" s="16"/>
      <c r="L28" s="17"/>
      <c r="M28" s="4"/>
      <c r="N28" s="22"/>
      <c r="O28" s="18"/>
    </row>
    <row r="29" spans="1:15" ht="29.65" customHeight="1" x14ac:dyDescent="0.25">
      <c r="A29" s="101"/>
      <c r="B29" s="28" t="s">
        <v>81</v>
      </c>
      <c r="C29" s="90"/>
      <c r="D29" s="9"/>
      <c r="E29" s="1"/>
      <c r="F29" s="22"/>
      <c r="G29" s="8"/>
      <c r="H29" s="4"/>
      <c r="I29" s="14"/>
      <c r="J29" s="22"/>
      <c r="K29" s="16"/>
      <c r="L29" s="17"/>
      <c r="M29" s="4"/>
      <c r="N29" s="22"/>
      <c r="O29" s="18"/>
    </row>
    <row r="30" spans="1:15" ht="40.15" customHeight="1" thickBot="1" x14ac:dyDescent="0.3">
      <c r="A30" s="102"/>
      <c r="B30" s="29" t="s">
        <v>30</v>
      </c>
      <c r="C30" s="90"/>
      <c r="D30" s="9"/>
      <c r="E30" s="1"/>
      <c r="F30" s="22"/>
      <c r="G30" s="8"/>
      <c r="H30" s="4"/>
      <c r="I30" s="14"/>
      <c r="J30" s="22"/>
      <c r="K30" s="16"/>
      <c r="L30" s="17"/>
      <c r="M30" s="4"/>
      <c r="N30" s="22"/>
      <c r="O30" s="18"/>
    </row>
    <row r="31" spans="1:15" ht="23.25" thickBot="1" x14ac:dyDescent="0.3">
      <c r="A31" s="100">
        <v>1.5</v>
      </c>
      <c r="B31" s="111" t="s">
        <v>5</v>
      </c>
      <c r="C31" s="112"/>
      <c r="D31" s="43"/>
      <c r="E31" s="44"/>
      <c r="F31" s="45"/>
      <c r="G31" s="46"/>
      <c r="H31" s="53"/>
      <c r="I31" s="48"/>
      <c r="J31" s="45"/>
      <c r="K31" s="49"/>
      <c r="L31" s="50"/>
      <c r="M31" s="47"/>
      <c r="N31" s="45"/>
      <c r="O31" s="51"/>
    </row>
    <row r="32" spans="1:15" ht="35.65" customHeight="1" x14ac:dyDescent="0.25">
      <c r="A32" s="101"/>
      <c r="B32" s="27" t="s">
        <v>32</v>
      </c>
      <c r="C32" s="90" t="s">
        <v>31</v>
      </c>
      <c r="D32" s="9"/>
      <c r="E32" s="1"/>
      <c r="F32" s="22"/>
      <c r="G32" s="8"/>
      <c r="H32" s="4"/>
      <c r="I32" s="14"/>
      <c r="J32" s="22"/>
      <c r="K32" s="16"/>
      <c r="L32" s="17"/>
      <c r="M32" s="4"/>
      <c r="N32" s="22"/>
      <c r="O32" s="18"/>
    </row>
    <row r="33" spans="1:15" ht="36" customHeight="1" thickBot="1" x14ac:dyDescent="0.3">
      <c r="A33" s="102"/>
      <c r="B33" s="29" t="s">
        <v>33</v>
      </c>
      <c r="C33" s="90"/>
      <c r="D33" s="9"/>
      <c r="E33" s="1"/>
      <c r="F33" s="22"/>
      <c r="G33" s="8"/>
      <c r="H33" s="4"/>
      <c r="I33" s="14"/>
      <c r="J33" s="22"/>
      <c r="K33" s="16"/>
      <c r="L33" s="17"/>
      <c r="M33" s="4"/>
      <c r="N33" s="22"/>
      <c r="O33" s="18"/>
    </row>
    <row r="34" spans="1:15" ht="23.25" thickBot="1" x14ac:dyDescent="0.3">
      <c r="A34" s="100">
        <v>1.6</v>
      </c>
      <c r="B34" s="111" t="s">
        <v>39</v>
      </c>
      <c r="C34" s="112"/>
      <c r="D34" s="43"/>
      <c r="E34" s="44"/>
      <c r="F34" s="45"/>
      <c r="G34" s="46"/>
      <c r="H34" s="53"/>
      <c r="I34" s="48"/>
      <c r="J34" s="45"/>
      <c r="K34" s="49"/>
      <c r="L34" s="50"/>
      <c r="M34" s="47"/>
      <c r="N34" s="45"/>
      <c r="O34" s="51"/>
    </row>
    <row r="35" spans="1:15" ht="46.9" customHeight="1" x14ac:dyDescent="0.25">
      <c r="A35" s="101"/>
      <c r="B35" s="27" t="s">
        <v>38</v>
      </c>
      <c r="C35" s="90" t="s">
        <v>34</v>
      </c>
      <c r="D35" s="9"/>
      <c r="E35" s="1"/>
      <c r="F35" s="22"/>
      <c r="G35" s="8"/>
      <c r="H35" s="4"/>
      <c r="I35" s="14"/>
      <c r="J35" s="22"/>
      <c r="K35" s="16"/>
      <c r="L35" s="17"/>
      <c r="M35" s="4"/>
      <c r="N35" s="22"/>
      <c r="O35" s="18"/>
    </row>
    <row r="36" spans="1:15" ht="32.65" customHeight="1" x14ac:dyDescent="0.25">
      <c r="A36" s="101"/>
      <c r="B36" s="28" t="s">
        <v>35</v>
      </c>
      <c r="C36" s="90"/>
      <c r="D36" s="9"/>
      <c r="E36" s="1"/>
      <c r="F36" s="22"/>
      <c r="G36" s="8"/>
      <c r="H36" s="4"/>
      <c r="I36" s="14"/>
      <c r="J36" s="22"/>
      <c r="K36" s="16"/>
      <c r="L36" s="17"/>
      <c r="M36" s="4"/>
      <c r="N36" s="22"/>
      <c r="O36" s="18"/>
    </row>
    <row r="37" spans="1:15" ht="29.65" customHeight="1" x14ac:dyDescent="0.25">
      <c r="A37" s="101"/>
      <c r="B37" s="28" t="s">
        <v>82</v>
      </c>
      <c r="C37" s="90"/>
      <c r="D37" s="9"/>
      <c r="E37" s="1"/>
      <c r="F37" s="22"/>
      <c r="G37" s="8"/>
      <c r="H37" s="6"/>
      <c r="I37" s="14"/>
      <c r="J37" s="22"/>
      <c r="K37" s="16"/>
      <c r="L37" s="17"/>
      <c r="M37" s="4"/>
      <c r="N37" s="22"/>
      <c r="O37" s="18"/>
    </row>
    <row r="38" spans="1:15" ht="31.9" customHeight="1" x14ac:dyDescent="0.25">
      <c r="A38" s="101"/>
      <c r="B38" s="28" t="s">
        <v>36</v>
      </c>
      <c r="C38" s="90"/>
      <c r="D38" s="9"/>
      <c r="E38" s="1"/>
      <c r="F38" s="22"/>
      <c r="G38" s="8"/>
      <c r="H38" s="4"/>
      <c r="I38" s="14"/>
      <c r="J38" s="22"/>
      <c r="K38" s="16"/>
      <c r="L38" s="17"/>
      <c r="M38" s="4"/>
      <c r="N38" s="22"/>
      <c r="O38" s="18"/>
    </row>
    <row r="39" spans="1:15" ht="36" customHeight="1" thickBot="1" x14ac:dyDescent="0.3">
      <c r="A39" s="102"/>
      <c r="B39" s="29" t="s">
        <v>37</v>
      </c>
      <c r="C39" s="90"/>
      <c r="D39" s="9"/>
      <c r="E39" s="1"/>
      <c r="F39" s="22"/>
      <c r="G39" s="8"/>
      <c r="H39" s="4"/>
      <c r="I39" s="14"/>
      <c r="J39" s="22"/>
      <c r="K39" s="16"/>
      <c r="L39" s="17"/>
      <c r="M39" s="4"/>
      <c r="N39" s="22"/>
      <c r="O39" s="18"/>
    </row>
    <row r="40" spans="1:15" ht="25.5" customHeight="1" thickBot="1" x14ac:dyDescent="0.3">
      <c r="A40" s="100">
        <v>1.7</v>
      </c>
      <c r="B40" s="111" t="s">
        <v>4</v>
      </c>
      <c r="C40" s="112"/>
      <c r="D40" s="43"/>
      <c r="E40" s="44"/>
      <c r="F40" s="45"/>
      <c r="G40" s="46"/>
      <c r="H40" s="53"/>
      <c r="I40" s="48"/>
      <c r="J40" s="45"/>
      <c r="K40" s="49"/>
      <c r="L40" s="50"/>
      <c r="M40" s="47"/>
      <c r="N40" s="45"/>
      <c r="O40" s="51"/>
    </row>
    <row r="41" spans="1:15" ht="57" customHeight="1" x14ac:dyDescent="0.25">
      <c r="A41" s="101"/>
      <c r="B41" s="27" t="s">
        <v>41</v>
      </c>
      <c r="C41" s="90" t="s">
        <v>40</v>
      </c>
      <c r="D41" s="9"/>
      <c r="E41" s="1"/>
      <c r="F41" s="22"/>
      <c r="G41" s="8"/>
      <c r="H41" s="4"/>
      <c r="I41" s="14"/>
      <c r="J41" s="22"/>
      <c r="K41" s="16"/>
      <c r="L41" s="17"/>
      <c r="M41" s="4"/>
      <c r="N41" s="22"/>
      <c r="O41" s="18"/>
    </row>
    <row r="42" spans="1:15" ht="44.25" customHeight="1" x14ac:dyDescent="0.25">
      <c r="A42" s="101"/>
      <c r="B42" s="28" t="s">
        <v>42</v>
      </c>
      <c r="C42" s="90"/>
      <c r="D42" s="9"/>
      <c r="E42" s="1"/>
      <c r="F42" s="22"/>
      <c r="G42" s="8"/>
      <c r="H42" s="4"/>
      <c r="I42" s="14"/>
      <c r="J42" s="22"/>
      <c r="K42" s="16"/>
      <c r="L42" s="17"/>
      <c r="M42" s="4"/>
      <c r="N42" s="22"/>
      <c r="O42" s="18"/>
    </row>
    <row r="43" spans="1:15" ht="44.25" customHeight="1" thickBot="1" x14ac:dyDescent="0.3">
      <c r="A43" s="102"/>
      <c r="B43" s="29" t="s">
        <v>43</v>
      </c>
      <c r="C43" s="90"/>
      <c r="D43" s="9"/>
      <c r="E43" s="1"/>
      <c r="F43" s="22"/>
      <c r="G43" s="8"/>
      <c r="H43" s="6"/>
      <c r="I43" s="14"/>
      <c r="J43" s="22"/>
      <c r="K43" s="16"/>
      <c r="L43" s="17"/>
      <c r="M43" s="4"/>
      <c r="N43" s="22"/>
      <c r="O43" s="18"/>
    </row>
    <row r="44" spans="1:15" ht="30" customHeight="1" thickBot="1" x14ac:dyDescent="0.3">
      <c r="A44" s="100">
        <v>1.8</v>
      </c>
      <c r="B44" s="111" t="s">
        <v>45</v>
      </c>
      <c r="C44" s="112"/>
      <c r="D44" s="43"/>
      <c r="E44" s="44"/>
      <c r="F44" s="45"/>
      <c r="G44" s="46"/>
      <c r="H44" s="47"/>
      <c r="I44" s="48"/>
      <c r="J44" s="45"/>
      <c r="K44" s="49"/>
      <c r="L44" s="50"/>
      <c r="M44" s="47"/>
      <c r="N44" s="45"/>
      <c r="O44" s="51"/>
    </row>
    <row r="45" spans="1:15" ht="67.5" customHeight="1" x14ac:dyDescent="0.25">
      <c r="A45" s="101"/>
      <c r="B45" s="27" t="s">
        <v>46</v>
      </c>
      <c r="C45" s="90" t="s">
        <v>44</v>
      </c>
      <c r="D45" s="9"/>
      <c r="E45" s="1"/>
      <c r="F45" s="22"/>
      <c r="G45" s="8"/>
      <c r="H45" s="4"/>
      <c r="I45" s="14"/>
      <c r="J45" s="22"/>
      <c r="K45" s="16"/>
      <c r="L45" s="17"/>
      <c r="M45" s="4"/>
      <c r="N45" s="22"/>
      <c r="O45" s="18"/>
    </row>
    <row r="46" spans="1:15" ht="63.75" customHeight="1" x14ac:dyDescent="0.25">
      <c r="A46" s="101"/>
      <c r="B46" s="28" t="s">
        <v>47</v>
      </c>
      <c r="C46" s="90"/>
      <c r="D46" s="9"/>
      <c r="E46" s="1"/>
      <c r="F46" s="22"/>
      <c r="G46" s="8"/>
      <c r="H46" s="6"/>
      <c r="I46" s="14"/>
      <c r="J46" s="22"/>
      <c r="K46" s="16"/>
      <c r="L46" s="17"/>
      <c r="M46" s="4"/>
      <c r="N46" s="22"/>
      <c r="O46" s="18"/>
    </row>
    <row r="47" spans="1:15" ht="65.25" customHeight="1" thickBot="1" x14ac:dyDescent="0.3">
      <c r="A47" s="102"/>
      <c r="B47" s="29" t="s">
        <v>48</v>
      </c>
      <c r="C47" s="90"/>
      <c r="D47" s="9"/>
      <c r="E47" s="1"/>
      <c r="F47" s="22"/>
      <c r="G47" s="8"/>
      <c r="H47" s="4"/>
      <c r="I47" s="14"/>
      <c r="J47" s="22"/>
      <c r="K47" s="16"/>
      <c r="L47" s="17"/>
      <c r="M47" s="4"/>
      <c r="N47" s="22"/>
      <c r="O47" s="18"/>
    </row>
    <row r="48" spans="1:15" ht="23.65" customHeight="1" thickBot="1" x14ac:dyDescent="0.3">
      <c r="A48" s="100">
        <v>1.9</v>
      </c>
      <c r="B48" s="111" t="s">
        <v>50</v>
      </c>
      <c r="C48" s="112"/>
      <c r="D48" s="43"/>
      <c r="E48" s="44"/>
      <c r="F48" s="45"/>
      <c r="G48" s="46"/>
      <c r="H48" s="47"/>
      <c r="I48" s="48"/>
      <c r="J48" s="45"/>
      <c r="K48" s="49"/>
      <c r="L48" s="50"/>
      <c r="M48" s="47"/>
      <c r="N48" s="45"/>
      <c r="O48" s="51"/>
    </row>
    <row r="49" spans="1:15" ht="69.400000000000006" customHeight="1" x14ac:dyDescent="0.25">
      <c r="A49" s="101"/>
      <c r="B49" s="27" t="s">
        <v>51</v>
      </c>
      <c r="C49" s="90" t="s">
        <v>49</v>
      </c>
      <c r="D49" s="9"/>
      <c r="E49" s="1"/>
      <c r="F49" s="22"/>
      <c r="G49" s="8"/>
      <c r="H49" s="6"/>
      <c r="I49" s="14"/>
      <c r="J49" s="22"/>
      <c r="K49" s="16"/>
      <c r="L49" s="17"/>
      <c r="M49" s="4"/>
      <c r="N49" s="22"/>
      <c r="O49" s="18"/>
    </row>
    <row r="50" spans="1:15" ht="41.65" customHeight="1" x14ac:dyDescent="0.25">
      <c r="A50" s="101"/>
      <c r="B50" s="28" t="s">
        <v>52</v>
      </c>
      <c r="C50" s="90"/>
      <c r="D50" s="9"/>
      <c r="E50" s="1"/>
      <c r="F50" s="22"/>
      <c r="G50" s="8"/>
      <c r="H50" s="4"/>
      <c r="I50" s="14"/>
      <c r="J50" s="22"/>
      <c r="K50" s="16"/>
      <c r="L50" s="17"/>
      <c r="M50" s="4"/>
      <c r="N50" s="22"/>
      <c r="O50" s="18"/>
    </row>
    <row r="51" spans="1:15" ht="28.5" customHeight="1" thickBot="1" x14ac:dyDescent="0.3">
      <c r="A51" s="102"/>
      <c r="B51" s="29" t="s">
        <v>177</v>
      </c>
      <c r="C51" s="90"/>
      <c r="D51" s="9"/>
      <c r="E51" s="1"/>
      <c r="F51" s="22"/>
      <c r="G51" s="8"/>
      <c r="H51" s="4"/>
      <c r="I51" s="14"/>
      <c r="J51" s="22"/>
      <c r="K51" s="16"/>
      <c r="L51" s="17"/>
      <c r="M51" s="4"/>
      <c r="N51" s="22"/>
      <c r="O51" s="18"/>
    </row>
    <row r="52" spans="1:15" ht="28.15" customHeight="1" thickBot="1" x14ac:dyDescent="0.3">
      <c r="A52" s="131" t="s">
        <v>173</v>
      </c>
      <c r="B52" s="111" t="s">
        <v>55</v>
      </c>
      <c r="C52" s="112"/>
      <c r="D52" s="43"/>
      <c r="E52" s="44"/>
      <c r="F52" s="45"/>
      <c r="G52" s="46"/>
      <c r="H52" s="53"/>
      <c r="I52" s="48"/>
      <c r="J52" s="45"/>
      <c r="K52" s="49"/>
      <c r="L52" s="50"/>
      <c r="M52" s="47"/>
      <c r="N52" s="45"/>
      <c r="O52" s="51"/>
    </row>
    <row r="53" spans="1:15" ht="55.9" customHeight="1" x14ac:dyDescent="0.25">
      <c r="A53" s="132"/>
      <c r="B53" s="27" t="s">
        <v>54</v>
      </c>
      <c r="C53" s="90" t="s">
        <v>53</v>
      </c>
      <c r="D53" s="9"/>
      <c r="E53" s="1"/>
      <c r="F53" s="22"/>
      <c r="G53" s="8"/>
      <c r="H53" s="4"/>
      <c r="I53" s="14"/>
      <c r="J53" s="22"/>
      <c r="K53" s="16"/>
      <c r="L53" s="17"/>
      <c r="M53" s="4"/>
      <c r="N53" s="22"/>
      <c r="O53" s="18"/>
    </row>
    <row r="54" spans="1:15" ht="62.45" customHeight="1" x14ac:dyDescent="0.25">
      <c r="A54" s="132"/>
      <c r="B54" s="28" t="s">
        <v>56</v>
      </c>
      <c r="C54" s="90"/>
      <c r="D54" s="9"/>
      <c r="E54" s="1"/>
      <c r="F54" s="22"/>
      <c r="G54" s="8"/>
      <c r="H54" s="4"/>
      <c r="I54" s="14"/>
      <c r="J54" s="22"/>
      <c r="K54" s="16"/>
      <c r="L54" s="17"/>
      <c r="M54" s="4"/>
      <c r="N54" s="22"/>
      <c r="O54" s="18"/>
    </row>
    <row r="55" spans="1:15" ht="63" customHeight="1" thickBot="1" x14ac:dyDescent="0.3">
      <c r="A55" s="133"/>
      <c r="B55" s="29" t="s">
        <v>57</v>
      </c>
      <c r="C55" s="90"/>
      <c r="D55" s="9"/>
      <c r="E55" s="1"/>
      <c r="F55" s="22"/>
      <c r="G55" s="8"/>
      <c r="H55" s="6"/>
      <c r="I55" s="14"/>
      <c r="J55" s="22"/>
      <c r="K55" s="16"/>
      <c r="L55" s="17"/>
      <c r="M55" s="4"/>
      <c r="N55" s="22"/>
      <c r="O55" s="18"/>
    </row>
    <row r="56" spans="1:15" ht="36.4" customHeight="1" thickBot="1" x14ac:dyDescent="0.3">
      <c r="A56" s="100">
        <v>1.1100000000000001</v>
      </c>
      <c r="B56" s="111" t="s">
        <v>73</v>
      </c>
      <c r="C56" s="112"/>
      <c r="D56" s="43"/>
      <c r="E56" s="44"/>
      <c r="F56" s="45"/>
      <c r="G56" s="46"/>
      <c r="H56" s="47"/>
      <c r="I56" s="48"/>
      <c r="J56" s="45"/>
      <c r="K56" s="49"/>
      <c r="L56" s="50"/>
      <c r="M56" s="47"/>
      <c r="N56" s="45"/>
      <c r="O56" s="51"/>
    </row>
    <row r="57" spans="1:15" ht="56.25" customHeight="1" x14ac:dyDescent="0.25">
      <c r="A57" s="101"/>
      <c r="B57" s="27" t="s">
        <v>59</v>
      </c>
      <c r="C57" s="90" t="s">
        <v>58</v>
      </c>
      <c r="D57" s="9"/>
      <c r="E57" s="1"/>
      <c r="F57" s="22"/>
      <c r="G57" s="8"/>
      <c r="H57" s="4"/>
      <c r="I57" s="14"/>
      <c r="J57" s="22"/>
      <c r="K57" s="16"/>
      <c r="L57" s="17"/>
      <c r="M57" s="4"/>
      <c r="N57" s="22"/>
      <c r="O57" s="18"/>
    </row>
    <row r="58" spans="1:15" ht="56.25" customHeight="1" x14ac:dyDescent="0.25">
      <c r="A58" s="101"/>
      <c r="B58" s="28" t="s">
        <v>60</v>
      </c>
      <c r="C58" s="90"/>
      <c r="D58" s="9"/>
      <c r="E58" s="1"/>
      <c r="F58" s="22"/>
      <c r="G58" s="8"/>
      <c r="H58" s="6"/>
      <c r="I58" s="14"/>
      <c r="J58" s="22"/>
      <c r="K58" s="16"/>
      <c r="L58" s="17"/>
      <c r="M58" s="4"/>
      <c r="N58" s="22"/>
      <c r="O58" s="18"/>
    </row>
    <row r="59" spans="1:15" ht="46.15" customHeight="1" x14ac:dyDescent="0.25">
      <c r="A59" s="101"/>
      <c r="B59" s="28" t="s">
        <v>61</v>
      </c>
      <c r="C59" s="90"/>
      <c r="D59" s="9"/>
      <c r="E59" s="1"/>
      <c r="F59" s="22"/>
      <c r="G59" s="8"/>
      <c r="H59" s="4"/>
      <c r="I59" s="14"/>
      <c r="J59" s="22"/>
      <c r="K59" s="16"/>
      <c r="L59" s="17"/>
      <c r="M59" s="4"/>
      <c r="N59" s="22"/>
      <c r="O59" s="18"/>
    </row>
    <row r="60" spans="1:15" ht="46.15" customHeight="1" x14ac:dyDescent="0.25">
      <c r="A60" s="101"/>
      <c r="B60" s="28" t="s">
        <v>62</v>
      </c>
      <c r="C60" s="90"/>
      <c r="D60" s="9"/>
      <c r="E60" s="1"/>
      <c r="F60" s="22"/>
      <c r="G60" s="8"/>
      <c r="H60" s="4"/>
      <c r="I60" s="14"/>
      <c r="J60" s="22"/>
      <c r="K60" s="16"/>
      <c r="L60" s="17"/>
      <c r="M60" s="4"/>
      <c r="N60" s="22"/>
      <c r="O60" s="18"/>
    </row>
    <row r="61" spans="1:15" ht="56.25" customHeight="1" thickBot="1" x14ac:dyDescent="0.3">
      <c r="A61" s="102"/>
      <c r="B61" s="29" t="s">
        <v>63</v>
      </c>
      <c r="C61" s="90"/>
      <c r="D61" s="9"/>
      <c r="E61" s="1"/>
      <c r="F61" s="22"/>
      <c r="G61" s="8"/>
      <c r="H61" s="6"/>
      <c r="I61" s="14"/>
      <c r="J61" s="22"/>
      <c r="K61" s="16"/>
      <c r="L61" s="17"/>
      <c r="M61" s="4"/>
      <c r="N61" s="22"/>
      <c r="O61" s="18"/>
    </row>
    <row r="62" spans="1:15" ht="28.15" customHeight="1" thickBot="1" x14ac:dyDescent="0.3">
      <c r="A62" s="100">
        <v>1.1200000000000001</v>
      </c>
      <c r="B62" s="111" t="s">
        <v>69</v>
      </c>
      <c r="C62" s="112"/>
      <c r="D62" s="43"/>
      <c r="E62" s="44"/>
      <c r="F62" s="45"/>
      <c r="G62" s="46"/>
      <c r="H62" s="47"/>
      <c r="I62" s="48"/>
      <c r="J62" s="45"/>
      <c r="K62" s="49"/>
      <c r="L62" s="50"/>
      <c r="M62" s="47"/>
      <c r="N62" s="45"/>
      <c r="O62" s="51"/>
    </row>
    <row r="63" spans="1:15" ht="56.25" customHeight="1" x14ac:dyDescent="0.25">
      <c r="A63" s="101"/>
      <c r="B63" s="31" t="s">
        <v>64</v>
      </c>
      <c r="C63" s="90" t="s">
        <v>66</v>
      </c>
      <c r="D63" s="9"/>
      <c r="E63" s="1"/>
      <c r="F63" s="22"/>
      <c r="G63" s="8"/>
      <c r="H63" s="4"/>
      <c r="I63" s="14"/>
      <c r="J63" s="22"/>
      <c r="K63" s="16"/>
      <c r="L63" s="17"/>
      <c r="M63" s="4"/>
      <c r="N63" s="22"/>
      <c r="O63" s="18"/>
    </row>
    <row r="64" spans="1:15" ht="56.25" customHeight="1" thickBot="1" x14ac:dyDescent="0.3">
      <c r="A64" s="102"/>
      <c r="B64" s="32" t="s">
        <v>65</v>
      </c>
      <c r="C64" s="90"/>
      <c r="D64" s="9"/>
      <c r="E64" s="1"/>
      <c r="F64" s="22"/>
      <c r="G64" s="8"/>
      <c r="H64" s="6"/>
      <c r="I64" s="14"/>
      <c r="J64" s="22"/>
      <c r="K64" s="16"/>
      <c r="L64" s="17"/>
      <c r="M64" s="4"/>
      <c r="N64" s="22"/>
      <c r="O64" s="18"/>
    </row>
    <row r="65" spans="1:15" ht="30" customHeight="1" thickBot="1" x14ac:dyDescent="0.3">
      <c r="A65" s="100">
        <v>1.1299999999999999</v>
      </c>
      <c r="B65" s="111" t="s">
        <v>8</v>
      </c>
      <c r="C65" s="112"/>
      <c r="D65" s="43"/>
      <c r="E65" s="44"/>
      <c r="F65" s="45"/>
      <c r="G65" s="46"/>
      <c r="H65" s="47"/>
      <c r="I65" s="48"/>
      <c r="J65" s="45"/>
      <c r="K65" s="49"/>
      <c r="L65" s="50"/>
      <c r="M65" s="47"/>
      <c r="N65" s="45"/>
      <c r="O65" s="51"/>
    </row>
    <row r="66" spans="1:15" ht="56.25" customHeight="1" thickBot="1" x14ac:dyDescent="0.3">
      <c r="A66" s="102"/>
      <c r="B66" s="33" t="s">
        <v>70</v>
      </c>
      <c r="C66" s="34" t="s">
        <v>67</v>
      </c>
      <c r="D66" s="9"/>
      <c r="E66" s="1"/>
      <c r="F66" s="22"/>
      <c r="G66" s="8"/>
      <c r="H66" s="4"/>
      <c r="I66" s="14"/>
      <c r="J66" s="22"/>
      <c r="K66" s="16"/>
      <c r="L66" s="17"/>
      <c r="M66" s="4"/>
      <c r="N66" s="22"/>
      <c r="O66" s="18"/>
    </row>
    <row r="67" spans="1:15" ht="35.65" customHeight="1" thickBot="1" x14ac:dyDescent="0.3">
      <c r="A67" s="100">
        <v>1.1399999999999999</v>
      </c>
      <c r="B67" s="111" t="s">
        <v>71</v>
      </c>
      <c r="C67" s="112"/>
      <c r="D67" s="43"/>
      <c r="E67" s="44"/>
      <c r="F67" s="45"/>
      <c r="G67" s="46"/>
      <c r="H67" s="53"/>
      <c r="I67" s="48"/>
      <c r="J67" s="45"/>
      <c r="K67" s="49"/>
      <c r="L67" s="50"/>
      <c r="M67" s="47"/>
      <c r="N67" s="45"/>
      <c r="O67" s="51"/>
    </row>
    <row r="68" spans="1:15" ht="56.25" customHeight="1" thickBot="1" x14ac:dyDescent="0.3">
      <c r="A68" s="102"/>
      <c r="B68" s="33" t="s">
        <v>68</v>
      </c>
      <c r="C68" s="34" t="s">
        <v>72</v>
      </c>
      <c r="D68" s="9"/>
      <c r="E68" s="1"/>
      <c r="F68" s="22"/>
      <c r="G68" s="8"/>
      <c r="H68" s="4"/>
      <c r="I68" s="14"/>
      <c r="J68" s="22"/>
      <c r="K68" s="16"/>
      <c r="L68" s="17"/>
      <c r="M68" s="4"/>
      <c r="N68" s="22"/>
      <c r="O68" s="18"/>
    </row>
    <row r="69" spans="1:15" ht="35.25" customHeight="1" thickBot="1" x14ac:dyDescent="0.3">
      <c r="A69" s="128" t="s">
        <v>87</v>
      </c>
      <c r="B69" s="129"/>
      <c r="C69" s="130"/>
      <c r="D69" s="15"/>
      <c r="E69" s="15"/>
      <c r="F69" s="15"/>
      <c r="G69" s="15"/>
      <c r="H69" s="15"/>
      <c r="I69" s="15"/>
      <c r="J69" s="15"/>
      <c r="K69" s="15"/>
      <c r="L69" s="15"/>
      <c r="M69" s="15"/>
      <c r="N69" s="15"/>
      <c r="O69" s="15"/>
    </row>
    <row r="70" spans="1:15" ht="30" customHeight="1" thickBot="1" x14ac:dyDescent="0.3">
      <c r="A70" s="100">
        <v>2.1</v>
      </c>
      <c r="B70" s="129" t="s">
        <v>136</v>
      </c>
      <c r="C70" s="130"/>
      <c r="D70" s="9"/>
      <c r="E70" s="1"/>
      <c r="F70" s="22"/>
      <c r="G70" s="8"/>
      <c r="H70" s="25"/>
      <c r="I70" s="14"/>
      <c r="J70" s="22"/>
      <c r="K70" s="16"/>
      <c r="L70" s="17"/>
      <c r="M70" s="4"/>
      <c r="N70" s="22"/>
      <c r="O70" s="18"/>
    </row>
    <row r="71" spans="1:15" ht="26.65" customHeight="1" x14ac:dyDescent="0.25">
      <c r="A71" s="101"/>
      <c r="B71" s="35" t="s">
        <v>91</v>
      </c>
      <c r="C71" s="125" t="s">
        <v>7</v>
      </c>
      <c r="D71" s="9"/>
      <c r="E71" s="1"/>
      <c r="F71" s="22"/>
      <c r="G71" s="8"/>
      <c r="H71" s="25"/>
      <c r="I71" s="14"/>
      <c r="J71" s="22"/>
      <c r="K71" s="16"/>
      <c r="L71" s="17"/>
      <c r="M71" s="4"/>
      <c r="N71" s="22"/>
      <c r="O71" s="18"/>
    </row>
    <row r="72" spans="1:15" ht="43.15" customHeight="1" x14ac:dyDescent="0.25">
      <c r="A72" s="101"/>
      <c r="B72" s="36" t="s">
        <v>92</v>
      </c>
      <c r="C72" s="126"/>
      <c r="D72" s="9"/>
      <c r="E72" s="1"/>
      <c r="F72" s="22"/>
      <c r="G72" s="8"/>
      <c r="H72" s="6"/>
      <c r="I72" s="14"/>
      <c r="J72" s="22"/>
      <c r="K72" s="16"/>
      <c r="L72" s="17"/>
      <c r="M72" s="4"/>
      <c r="N72" s="22"/>
      <c r="O72" s="18"/>
    </row>
    <row r="73" spans="1:15" ht="37.5" customHeight="1" x14ac:dyDescent="0.25">
      <c r="A73" s="101"/>
      <c r="B73" s="36" t="s">
        <v>93</v>
      </c>
      <c r="C73" s="126"/>
      <c r="D73" s="9"/>
      <c r="E73" s="1"/>
      <c r="F73" s="22"/>
      <c r="G73" s="8"/>
      <c r="H73" s="4"/>
      <c r="I73" s="14"/>
      <c r="J73" s="22"/>
      <c r="K73" s="16"/>
      <c r="L73" s="17"/>
      <c r="M73" s="4"/>
      <c r="N73" s="22"/>
      <c r="O73" s="18"/>
    </row>
    <row r="74" spans="1:15" ht="43.15" customHeight="1" x14ac:dyDescent="0.25">
      <c r="A74" s="101"/>
      <c r="B74" s="36" t="s">
        <v>94</v>
      </c>
      <c r="C74" s="126"/>
      <c r="D74" s="9"/>
      <c r="E74" s="1"/>
      <c r="F74" s="22"/>
      <c r="G74" s="8"/>
      <c r="H74" s="4"/>
      <c r="I74" s="14"/>
      <c r="J74" s="22"/>
      <c r="K74" s="16"/>
      <c r="L74" s="17"/>
      <c r="M74" s="4"/>
      <c r="N74" s="22"/>
      <c r="O74" s="18"/>
    </row>
    <row r="75" spans="1:15" ht="43.15" customHeight="1" x14ac:dyDescent="0.25">
      <c r="A75" s="101"/>
      <c r="B75" s="36" t="s">
        <v>95</v>
      </c>
      <c r="C75" s="126"/>
      <c r="D75" s="9"/>
      <c r="E75" s="1"/>
      <c r="F75" s="22"/>
      <c r="G75" s="8"/>
      <c r="H75" s="6"/>
      <c r="I75" s="14"/>
      <c r="J75" s="22"/>
      <c r="K75" s="16"/>
      <c r="L75" s="17"/>
      <c r="M75" s="4"/>
      <c r="N75" s="22"/>
      <c r="O75" s="18"/>
    </row>
    <row r="76" spans="1:15" ht="34.15" customHeight="1" x14ac:dyDescent="0.25">
      <c r="A76" s="101"/>
      <c r="B76" s="36" t="s">
        <v>96</v>
      </c>
      <c r="C76" s="126"/>
      <c r="D76" s="9"/>
      <c r="E76" s="1"/>
      <c r="F76" s="22"/>
      <c r="G76" s="8"/>
      <c r="H76" s="4"/>
      <c r="I76" s="14"/>
      <c r="J76" s="22"/>
      <c r="K76" s="16"/>
      <c r="L76" s="17"/>
      <c r="M76" s="4"/>
      <c r="N76" s="22"/>
      <c r="O76" s="18"/>
    </row>
    <row r="77" spans="1:15" ht="31.9" customHeight="1" x14ac:dyDescent="0.25">
      <c r="A77" s="101"/>
      <c r="B77" s="36" t="s">
        <v>97</v>
      </c>
      <c r="C77" s="126"/>
      <c r="D77" s="9"/>
      <c r="E77" s="1"/>
      <c r="F77" s="22"/>
      <c r="G77" s="8"/>
      <c r="H77" s="4"/>
      <c r="I77" s="14"/>
      <c r="J77" s="22"/>
      <c r="K77" s="16"/>
      <c r="L77" s="17"/>
      <c r="M77" s="4"/>
      <c r="N77" s="22"/>
      <c r="O77" s="18"/>
    </row>
    <row r="78" spans="1:15" ht="31.5" customHeight="1" thickBot="1" x14ac:dyDescent="0.3">
      <c r="A78" s="102"/>
      <c r="B78" s="37" t="s">
        <v>98</v>
      </c>
      <c r="C78" s="126"/>
      <c r="D78" s="9"/>
      <c r="E78" s="1"/>
      <c r="F78" s="22"/>
      <c r="G78" s="8"/>
      <c r="H78" s="4"/>
      <c r="I78" s="14"/>
      <c r="J78" s="22"/>
      <c r="K78" s="16"/>
      <c r="L78" s="17"/>
      <c r="M78" s="4"/>
      <c r="N78" s="22"/>
      <c r="O78" s="18"/>
    </row>
    <row r="79" spans="1:15" ht="26.65" customHeight="1" thickBot="1" x14ac:dyDescent="0.3">
      <c r="A79" s="100">
        <v>2.2000000000000002</v>
      </c>
      <c r="B79" s="137" t="s">
        <v>138</v>
      </c>
      <c r="C79" s="138"/>
      <c r="D79" s="43"/>
      <c r="E79" s="44"/>
      <c r="F79" s="45"/>
      <c r="G79" s="46"/>
      <c r="H79" s="54"/>
      <c r="I79" s="48"/>
      <c r="J79" s="45"/>
      <c r="K79" s="49"/>
      <c r="L79" s="50"/>
      <c r="M79" s="47"/>
      <c r="N79" s="45"/>
      <c r="O79" s="51"/>
    </row>
    <row r="80" spans="1:15" ht="25.9" customHeight="1" x14ac:dyDescent="0.25">
      <c r="A80" s="101"/>
      <c r="B80" s="38" t="s">
        <v>137</v>
      </c>
      <c r="C80" s="125" t="s">
        <v>74</v>
      </c>
      <c r="D80" s="9"/>
      <c r="E80" s="1"/>
      <c r="F80" s="22"/>
      <c r="G80" s="8"/>
      <c r="H80" s="6"/>
      <c r="I80" s="14"/>
      <c r="J80" s="22"/>
      <c r="K80" s="16"/>
      <c r="L80" s="17"/>
      <c r="M80" s="4"/>
      <c r="N80" s="22"/>
      <c r="O80" s="18"/>
    </row>
    <row r="81" spans="1:15" ht="25.5" customHeight="1" x14ac:dyDescent="0.25">
      <c r="A81" s="101"/>
      <c r="B81" s="36" t="s">
        <v>139</v>
      </c>
      <c r="C81" s="126"/>
      <c r="D81" s="9"/>
      <c r="E81" s="1"/>
      <c r="F81" s="22"/>
      <c r="G81" s="8"/>
      <c r="H81" s="4"/>
      <c r="I81" s="14"/>
      <c r="J81" s="22"/>
      <c r="K81" s="16"/>
      <c r="L81" s="17"/>
      <c r="M81" s="4"/>
      <c r="N81" s="22"/>
      <c r="O81" s="18"/>
    </row>
    <row r="82" spans="1:15" ht="43.15" customHeight="1" x14ac:dyDescent="0.25">
      <c r="A82" s="101"/>
      <c r="B82" s="36" t="s">
        <v>140</v>
      </c>
      <c r="C82" s="126"/>
      <c r="D82" s="9"/>
      <c r="E82" s="1"/>
      <c r="F82" s="22"/>
      <c r="G82" s="8"/>
      <c r="H82" s="4"/>
      <c r="I82" s="14"/>
      <c r="J82" s="22"/>
      <c r="K82" s="16"/>
      <c r="L82" s="17"/>
      <c r="M82" s="4"/>
      <c r="N82" s="22"/>
      <c r="O82" s="18"/>
    </row>
    <row r="83" spans="1:15" ht="43.15" customHeight="1" x14ac:dyDescent="0.25">
      <c r="A83" s="101"/>
      <c r="B83" s="36" t="s">
        <v>141</v>
      </c>
      <c r="C83" s="126"/>
      <c r="D83" s="9"/>
      <c r="E83" s="1"/>
      <c r="F83" s="22"/>
      <c r="G83" s="8"/>
      <c r="H83" s="6"/>
      <c r="I83" s="14"/>
      <c r="J83" s="22"/>
      <c r="K83" s="16"/>
      <c r="L83" s="17"/>
      <c r="M83" s="4"/>
      <c r="N83" s="22"/>
      <c r="O83" s="18"/>
    </row>
    <row r="84" spans="1:15" ht="26.65" customHeight="1" x14ac:dyDescent="0.25">
      <c r="A84" s="101"/>
      <c r="B84" s="36" t="s">
        <v>142</v>
      </c>
      <c r="C84" s="126"/>
      <c r="D84" s="9"/>
      <c r="E84" s="1"/>
      <c r="F84" s="22"/>
      <c r="G84" s="8"/>
      <c r="H84" s="4"/>
      <c r="I84" s="14"/>
      <c r="J84" s="22"/>
      <c r="K84" s="16"/>
      <c r="L84" s="17"/>
      <c r="M84" s="4"/>
      <c r="N84" s="22"/>
      <c r="O84" s="18"/>
    </row>
    <row r="85" spans="1:15" ht="43.15" customHeight="1" thickBot="1" x14ac:dyDescent="0.3">
      <c r="A85" s="102"/>
      <c r="B85" s="39" t="s">
        <v>143</v>
      </c>
      <c r="C85" s="127"/>
      <c r="D85" s="9"/>
      <c r="E85" s="1"/>
      <c r="F85" s="22"/>
      <c r="G85" s="8"/>
      <c r="H85" s="4"/>
      <c r="I85" s="14"/>
      <c r="J85" s="22"/>
      <c r="K85" s="16"/>
      <c r="L85" s="17"/>
      <c r="M85" s="4"/>
      <c r="N85" s="22"/>
      <c r="O85" s="18"/>
    </row>
    <row r="86" spans="1:15" ht="28.5" customHeight="1" thickBot="1" x14ac:dyDescent="0.3">
      <c r="A86" s="100">
        <v>2.2999999999999998</v>
      </c>
      <c r="B86" s="137" t="s">
        <v>145</v>
      </c>
      <c r="C86" s="138"/>
      <c r="D86" s="43"/>
      <c r="E86" s="44"/>
      <c r="F86" s="45"/>
      <c r="G86" s="46"/>
      <c r="H86" s="54"/>
      <c r="I86" s="48"/>
      <c r="J86" s="45"/>
      <c r="K86" s="49"/>
      <c r="L86" s="50"/>
      <c r="M86" s="47"/>
      <c r="N86" s="45"/>
      <c r="O86" s="51"/>
    </row>
    <row r="87" spans="1:15" ht="43.15" customHeight="1" x14ac:dyDescent="0.25">
      <c r="A87" s="101"/>
      <c r="B87" s="38" t="s">
        <v>144</v>
      </c>
      <c r="C87" s="125" t="s">
        <v>74</v>
      </c>
      <c r="D87" s="9"/>
      <c r="E87" s="1"/>
      <c r="F87" s="22"/>
      <c r="G87" s="8"/>
      <c r="H87" s="6"/>
      <c r="I87" s="14"/>
      <c r="J87" s="22"/>
      <c r="K87" s="16"/>
      <c r="L87" s="17"/>
      <c r="M87" s="4"/>
      <c r="N87" s="22"/>
      <c r="O87" s="18"/>
    </row>
    <row r="88" spans="1:15" ht="43.15" customHeight="1" x14ac:dyDescent="0.25">
      <c r="A88" s="101"/>
      <c r="B88" s="36" t="s">
        <v>146</v>
      </c>
      <c r="C88" s="126"/>
      <c r="D88" s="9"/>
      <c r="E88" s="1"/>
      <c r="F88" s="22"/>
      <c r="G88" s="8"/>
      <c r="H88" s="4"/>
      <c r="I88" s="14"/>
      <c r="J88" s="22"/>
      <c r="K88" s="16"/>
      <c r="L88" s="17"/>
      <c r="M88" s="4"/>
      <c r="N88" s="22"/>
      <c r="O88" s="18"/>
    </row>
    <row r="89" spans="1:15" ht="43.15" customHeight="1" thickBot="1" x14ac:dyDescent="0.3">
      <c r="A89" s="102"/>
      <c r="B89" s="39" t="s">
        <v>147</v>
      </c>
      <c r="C89" s="127"/>
      <c r="D89" s="9"/>
      <c r="E89" s="1"/>
      <c r="F89" s="22"/>
      <c r="G89" s="8"/>
      <c r="H89" s="4"/>
      <c r="I89" s="14"/>
      <c r="J89" s="22"/>
      <c r="K89" s="16"/>
      <c r="L89" s="17"/>
      <c r="M89" s="4"/>
      <c r="N89" s="22"/>
      <c r="O89" s="18"/>
    </row>
    <row r="90" spans="1:15" ht="26.65" customHeight="1" thickBot="1" x14ac:dyDescent="0.3">
      <c r="A90" s="100">
        <v>2.4</v>
      </c>
      <c r="B90" s="137" t="s">
        <v>149</v>
      </c>
      <c r="C90" s="138"/>
      <c r="D90" s="43"/>
      <c r="E90" s="44"/>
      <c r="F90" s="45"/>
      <c r="G90" s="46"/>
      <c r="H90" s="54"/>
      <c r="I90" s="48"/>
      <c r="J90" s="45"/>
      <c r="K90" s="49"/>
      <c r="L90" s="50"/>
      <c r="M90" s="47"/>
      <c r="N90" s="45"/>
      <c r="O90" s="51"/>
    </row>
    <row r="91" spans="1:15" ht="25.5" customHeight="1" x14ac:dyDescent="0.25">
      <c r="A91" s="101"/>
      <c r="B91" s="38" t="s">
        <v>148</v>
      </c>
      <c r="C91" s="125" t="s">
        <v>75</v>
      </c>
      <c r="D91" s="9"/>
      <c r="E91" s="1"/>
      <c r="F91" s="22"/>
      <c r="G91" s="8"/>
      <c r="H91" s="6"/>
      <c r="I91" s="14"/>
      <c r="J91" s="22"/>
      <c r="K91" s="16"/>
      <c r="L91" s="17"/>
      <c r="M91" s="4"/>
      <c r="N91" s="22"/>
      <c r="O91" s="18"/>
    </row>
    <row r="92" spans="1:15" ht="30.4" customHeight="1" x14ac:dyDescent="0.25">
      <c r="A92" s="101"/>
      <c r="B92" s="36" t="s">
        <v>150</v>
      </c>
      <c r="C92" s="126"/>
      <c r="D92" s="9"/>
      <c r="E92" s="1"/>
      <c r="F92" s="22"/>
      <c r="G92" s="8"/>
      <c r="H92" s="4"/>
      <c r="I92" s="14"/>
      <c r="J92" s="22"/>
      <c r="K92" s="16"/>
      <c r="L92" s="17"/>
      <c r="M92" s="4"/>
      <c r="N92" s="22"/>
      <c r="O92" s="18"/>
    </row>
    <row r="93" spans="1:15" ht="30" customHeight="1" x14ac:dyDescent="0.25">
      <c r="A93" s="101"/>
      <c r="B93" s="36" t="s">
        <v>151</v>
      </c>
      <c r="C93" s="126"/>
      <c r="D93" s="9"/>
      <c r="E93" s="1"/>
      <c r="F93" s="22"/>
      <c r="G93" s="8"/>
      <c r="H93" s="4"/>
      <c r="I93" s="14"/>
      <c r="J93" s="22"/>
      <c r="K93" s="16"/>
      <c r="L93" s="17"/>
      <c r="M93" s="4"/>
      <c r="N93" s="22"/>
      <c r="O93" s="18"/>
    </row>
    <row r="94" spans="1:15" ht="30" customHeight="1" x14ac:dyDescent="0.25">
      <c r="A94" s="101"/>
      <c r="B94" s="36" t="s">
        <v>152</v>
      </c>
      <c r="C94" s="126"/>
      <c r="D94" s="9"/>
      <c r="E94" s="1"/>
      <c r="F94" s="22"/>
      <c r="G94" s="8"/>
      <c r="H94" s="6"/>
      <c r="I94" s="14"/>
      <c r="J94" s="22"/>
      <c r="K94" s="16"/>
      <c r="L94" s="17"/>
      <c r="M94" s="4"/>
      <c r="N94" s="22"/>
      <c r="O94" s="18"/>
    </row>
    <row r="95" spans="1:15" ht="24" customHeight="1" x14ac:dyDescent="0.25">
      <c r="A95" s="101"/>
      <c r="B95" s="36" t="s">
        <v>153</v>
      </c>
      <c r="C95" s="126"/>
      <c r="D95" s="9"/>
      <c r="E95" s="1"/>
      <c r="F95" s="22"/>
      <c r="G95" s="8"/>
      <c r="H95" s="4"/>
      <c r="I95" s="14"/>
      <c r="J95" s="22"/>
      <c r="K95" s="16"/>
      <c r="L95" s="17"/>
      <c r="M95" s="4"/>
      <c r="N95" s="22"/>
      <c r="O95" s="18"/>
    </row>
    <row r="96" spans="1:15" ht="23.65" customHeight="1" thickBot="1" x14ac:dyDescent="0.3">
      <c r="A96" s="102"/>
      <c r="B96" s="39" t="s">
        <v>154</v>
      </c>
      <c r="C96" s="127"/>
      <c r="D96" s="9"/>
      <c r="E96" s="1"/>
      <c r="F96" s="22"/>
      <c r="G96" s="8"/>
      <c r="H96" s="4"/>
      <c r="I96" s="14"/>
      <c r="J96" s="22"/>
      <c r="K96" s="16"/>
      <c r="L96" s="17"/>
      <c r="M96" s="4"/>
      <c r="N96" s="22"/>
      <c r="O96" s="18"/>
    </row>
    <row r="97" spans="1:15" ht="30.4" customHeight="1" thickBot="1" x14ac:dyDescent="0.3">
      <c r="A97" s="100">
        <v>2.5</v>
      </c>
      <c r="B97" s="123" t="s">
        <v>156</v>
      </c>
      <c r="C97" s="124"/>
      <c r="D97" s="43"/>
      <c r="E97" s="44"/>
      <c r="F97" s="45"/>
      <c r="G97" s="46"/>
      <c r="H97" s="54"/>
      <c r="I97" s="48"/>
      <c r="J97" s="45"/>
      <c r="K97" s="49"/>
      <c r="L97" s="50"/>
      <c r="M97" s="47"/>
      <c r="N97" s="45"/>
      <c r="O97" s="51"/>
    </row>
    <row r="98" spans="1:15" ht="27" customHeight="1" x14ac:dyDescent="0.25">
      <c r="A98" s="101"/>
      <c r="B98" s="38" t="s">
        <v>155</v>
      </c>
      <c r="C98" s="125" t="s">
        <v>75</v>
      </c>
      <c r="D98" s="9"/>
      <c r="E98" s="1"/>
      <c r="F98" s="22"/>
      <c r="G98" s="8"/>
      <c r="H98" s="6"/>
      <c r="I98" s="14"/>
      <c r="J98" s="22"/>
      <c r="K98" s="16"/>
      <c r="L98" s="17"/>
      <c r="M98" s="4"/>
      <c r="N98" s="22"/>
      <c r="O98" s="18"/>
    </row>
    <row r="99" spans="1:15" ht="32.65" customHeight="1" x14ac:dyDescent="0.25">
      <c r="A99" s="101"/>
      <c r="B99" s="36" t="s">
        <v>157</v>
      </c>
      <c r="C99" s="126"/>
      <c r="D99" s="9"/>
      <c r="E99" s="1"/>
      <c r="F99" s="22"/>
      <c r="G99" s="8"/>
      <c r="H99" s="4"/>
      <c r="I99" s="14"/>
      <c r="J99" s="22"/>
      <c r="K99" s="16"/>
      <c r="L99" s="17"/>
      <c r="M99" s="4"/>
      <c r="N99" s="22"/>
      <c r="O99" s="18"/>
    </row>
    <row r="100" spans="1:15" ht="28.5" customHeight="1" x14ac:dyDescent="0.25">
      <c r="A100" s="101"/>
      <c r="B100" s="36" t="s">
        <v>158</v>
      </c>
      <c r="C100" s="126"/>
      <c r="D100" s="9"/>
      <c r="E100" s="1"/>
      <c r="F100" s="22"/>
      <c r="G100" s="8"/>
      <c r="H100" s="4"/>
      <c r="I100" s="14"/>
      <c r="J100" s="22"/>
      <c r="K100" s="16"/>
      <c r="L100" s="17"/>
      <c r="M100" s="4"/>
      <c r="N100" s="22"/>
      <c r="O100" s="18"/>
    </row>
    <row r="101" spans="1:15" ht="31.9" customHeight="1" x14ac:dyDescent="0.25">
      <c r="A101" s="101"/>
      <c r="B101" s="36" t="s">
        <v>159</v>
      </c>
      <c r="C101" s="126"/>
      <c r="D101" s="9"/>
      <c r="E101" s="1"/>
      <c r="F101" s="22"/>
      <c r="G101" s="8"/>
      <c r="H101" s="6"/>
      <c r="I101" s="14"/>
      <c r="J101" s="22"/>
      <c r="K101" s="16"/>
      <c r="L101" s="17"/>
      <c r="M101" s="4"/>
      <c r="N101" s="22"/>
      <c r="O101" s="18"/>
    </row>
    <row r="102" spans="1:15" ht="31.9" customHeight="1" x14ac:dyDescent="0.25">
      <c r="A102" s="101"/>
      <c r="B102" s="36" t="s">
        <v>160</v>
      </c>
      <c r="C102" s="126"/>
      <c r="D102" s="9"/>
      <c r="E102" s="1"/>
      <c r="F102" s="22"/>
      <c r="G102" s="8"/>
      <c r="H102" s="4"/>
      <c r="I102" s="14"/>
      <c r="J102" s="22"/>
      <c r="K102" s="16"/>
      <c r="L102" s="17"/>
      <c r="M102" s="4"/>
      <c r="N102" s="22"/>
      <c r="O102" s="18"/>
    </row>
    <row r="103" spans="1:15" ht="24" customHeight="1" x14ac:dyDescent="0.25">
      <c r="A103" s="101"/>
      <c r="B103" s="40" t="s">
        <v>161</v>
      </c>
      <c r="C103" s="126"/>
      <c r="D103" s="9"/>
      <c r="E103" s="1"/>
      <c r="F103" s="22"/>
      <c r="G103" s="8"/>
      <c r="H103" s="4"/>
      <c r="I103" s="14"/>
      <c r="J103" s="22"/>
      <c r="K103" s="16"/>
      <c r="L103" s="17"/>
      <c r="M103" s="4"/>
      <c r="N103" s="22"/>
      <c r="O103" s="18"/>
    </row>
    <row r="104" spans="1:15" ht="43.15" customHeight="1" thickBot="1" x14ac:dyDescent="0.3">
      <c r="A104" s="102"/>
      <c r="B104" s="41" t="s">
        <v>162</v>
      </c>
      <c r="C104" s="127"/>
      <c r="D104" s="9"/>
      <c r="E104" s="1"/>
      <c r="F104" s="22"/>
      <c r="G104" s="8"/>
      <c r="H104" s="6"/>
      <c r="I104" s="14"/>
      <c r="J104" s="22"/>
      <c r="K104" s="16"/>
      <c r="L104" s="17"/>
      <c r="M104" s="4"/>
      <c r="N104" s="22"/>
      <c r="O104" s="18"/>
    </row>
    <row r="105" spans="1:15" ht="23.65" customHeight="1" thickBot="1" x14ac:dyDescent="0.3">
      <c r="A105" s="100">
        <v>2.6</v>
      </c>
      <c r="B105" s="123" t="s">
        <v>164</v>
      </c>
      <c r="C105" s="124"/>
      <c r="D105" s="43"/>
      <c r="E105" s="44"/>
      <c r="F105" s="45"/>
      <c r="G105" s="46"/>
      <c r="H105" s="53"/>
      <c r="I105" s="48"/>
      <c r="J105" s="45"/>
      <c r="K105" s="49"/>
      <c r="L105" s="50"/>
      <c r="M105" s="47"/>
      <c r="N105" s="45"/>
      <c r="O105" s="51"/>
    </row>
    <row r="106" spans="1:15" ht="22.5" customHeight="1" x14ac:dyDescent="0.25">
      <c r="A106" s="101"/>
      <c r="B106" s="42" t="s">
        <v>163</v>
      </c>
      <c r="C106" s="125" t="s">
        <v>75</v>
      </c>
      <c r="D106" s="9"/>
      <c r="E106" s="1"/>
      <c r="F106" s="22"/>
      <c r="G106" s="8"/>
      <c r="H106" s="4"/>
      <c r="I106" s="14"/>
      <c r="J106" s="22"/>
      <c r="K106" s="16"/>
      <c r="L106" s="17"/>
      <c r="M106" s="4"/>
      <c r="N106" s="22"/>
      <c r="O106" s="18"/>
    </row>
    <row r="107" spans="1:15" ht="30" customHeight="1" x14ac:dyDescent="0.25">
      <c r="A107" s="101"/>
      <c r="B107" s="40" t="s">
        <v>165</v>
      </c>
      <c r="C107" s="126"/>
      <c r="D107" s="9"/>
      <c r="E107" s="1"/>
      <c r="F107" s="22"/>
      <c r="G107" s="8"/>
      <c r="H107" s="4"/>
      <c r="I107" s="14"/>
      <c r="J107" s="22"/>
      <c r="K107" s="16"/>
      <c r="L107" s="17"/>
      <c r="M107" s="4"/>
      <c r="N107" s="22"/>
      <c r="O107" s="18"/>
    </row>
    <row r="108" spans="1:15" ht="24.4" customHeight="1" x14ac:dyDescent="0.25">
      <c r="A108" s="101"/>
      <c r="B108" s="40" t="s">
        <v>166</v>
      </c>
      <c r="C108" s="126"/>
      <c r="D108" s="9"/>
      <c r="E108" s="1"/>
      <c r="F108" s="22"/>
      <c r="G108" s="8"/>
      <c r="H108" s="6"/>
      <c r="I108" s="14"/>
      <c r="J108" s="22"/>
      <c r="K108" s="16"/>
      <c r="L108" s="17"/>
      <c r="M108" s="4"/>
      <c r="N108" s="22"/>
      <c r="O108" s="18"/>
    </row>
    <row r="109" spans="1:15" ht="25.9" customHeight="1" x14ac:dyDescent="0.25">
      <c r="A109" s="101"/>
      <c r="B109" s="40" t="s">
        <v>167</v>
      </c>
      <c r="C109" s="126"/>
      <c r="D109" s="9"/>
      <c r="E109" s="1"/>
      <c r="F109" s="22"/>
      <c r="G109" s="8"/>
      <c r="H109" s="4"/>
      <c r="I109" s="14"/>
      <c r="J109" s="22"/>
      <c r="K109" s="16"/>
      <c r="L109" s="17"/>
      <c r="M109" s="4"/>
      <c r="N109" s="22"/>
      <c r="O109" s="18"/>
    </row>
    <row r="110" spans="1:15" ht="27.4" customHeight="1" thickBot="1" x14ac:dyDescent="0.3">
      <c r="A110" s="102"/>
      <c r="B110" s="41" t="s">
        <v>168</v>
      </c>
      <c r="C110" s="127"/>
      <c r="D110" s="9"/>
      <c r="E110" s="1"/>
      <c r="F110" s="22"/>
      <c r="G110" s="8"/>
      <c r="H110" s="4"/>
      <c r="I110" s="14"/>
      <c r="J110" s="22"/>
      <c r="K110" s="16"/>
      <c r="L110" s="17"/>
      <c r="M110" s="4"/>
      <c r="N110" s="22"/>
      <c r="O110" s="18"/>
    </row>
    <row r="111" spans="1:15" ht="22.9" customHeight="1" thickBot="1" x14ac:dyDescent="0.3">
      <c r="A111" s="128" t="s">
        <v>88</v>
      </c>
      <c r="B111" s="129"/>
      <c r="C111" s="130"/>
      <c r="D111" s="15"/>
      <c r="E111" s="15"/>
      <c r="F111" s="15"/>
      <c r="G111" s="15"/>
      <c r="H111" s="15"/>
      <c r="I111" s="15"/>
      <c r="J111" s="15"/>
      <c r="K111" s="15"/>
      <c r="L111" s="15"/>
      <c r="M111" s="15"/>
      <c r="N111" s="15"/>
      <c r="O111" s="15"/>
    </row>
    <row r="112" spans="1:15" ht="26.65" customHeight="1" thickBot="1" x14ac:dyDescent="0.3">
      <c r="A112" s="100">
        <v>3.1</v>
      </c>
      <c r="B112" s="139" t="s">
        <v>169</v>
      </c>
      <c r="C112" s="140"/>
      <c r="D112" s="9"/>
      <c r="E112" s="1"/>
      <c r="F112" s="22"/>
      <c r="G112" s="8"/>
      <c r="H112" s="6"/>
      <c r="I112" s="14"/>
      <c r="J112" s="22"/>
      <c r="K112" s="16"/>
      <c r="L112" s="17"/>
      <c r="M112" s="4"/>
      <c r="N112" s="22"/>
      <c r="O112" s="18"/>
    </row>
    <row r="113" spans="1:15" ht="34.9" customHeight="1" x14ac:dyDescent="0.25">
      <c r="A113" s="101"/>
      <c r="B113" s="38" t="s">
        <v>99</v>
      </c>
      <c r="C113" s="125" t="s">
        <v>76</v>
      </c>
      <c r="D113" s="9"/>
      <c r="E113" s="1"/>
      <c r="F113" s="22"/>
      <c r="G113" s="8"/>
      <c r="H113" s="4"/>
      <c r="I113" s="14"/>
      <c r="J113" s="22"/>
      <c r="K113" s="16"/>
      <c r="L113" s="17"/>
      <c r="M113" s="4"/>
      <c r="N113" s="22"/>
      <c r="O113" s="18"/>
    </row>
    <row r="114" spans="1:15" ht="34.9" customHeight="1" x14ac:dyDescent="0.25">
      <c r="A114" s="101"/>
      <c r="B114" s="36" t="s">
        <v>100</v>
      </c>
      <c r="C114" s="126"/>
      <c r="D114" s="9"/>
      <c r="E114" s="1"/>
      <c r="F114" s="22"/>
      <c r="G114" s="8"/>
      <c r="H114" s="4"/>
      <c r="I114" s="14"/>
      <c r="J114" s="22"/>
      <c r="K114" s="16"/>
      <c r="L114" s="17"/>
      <c r="M114" s="4"/>
      <c r="N114" s="22"/>
      <c r="O114" s="18"/>
    </row>
    <row r="115" spans="1:15" ht="34.9" customHeight="1" x14ac:dyDescent="0.25">
      <c r="A115" s="101"/>
      <c r="B115" s="36" t="s">
        <v>101</v>
      </c>
      <c r="C115" s="126"/>
      <c r="D115" s="9"/>
      <c r="E115" s="1"/>
      <c r="F115" s="22"/>
      <c r="G115" s="8"/>
      <c r="H115" s="6"/>
      <c r="I115" s="14"/>
      <c r="J115" s="22"/>
      <c r="K115" s="16"/>
      <c r="L115" s="17"/>
      <c r="M115" s="4"/>
      <c r="N115" s="22"/>
      <c r="O115" s="18"/>
    </row>
    <row r="116" spans="1:15" ht="34.9" customHeight="1" x14ac:dyDescent="0.25">
      <c r="A116" s="101"/>
      <c r="B116" s="36" t="s">
        <v>102</v>
      </c>
      <c r="C116" s="126"/>
      <c r="D116" s="9"/>
      <c r="E116" s="1"/>
      <c r="F116" s="22"/>
      <c r="G116" s="8"/>
      <c r="H116" s="4"/>
      <c r="I116" s="14"/>
      <c r="J116" s="22"/>
      <c r="K116" s="16"/>
      <c r="L116" s="17"/>
      <c r="M116" s="4"/>
      <c r="N116" s="22"/>
      <c r="O116" s="18"/>
    </row>
    <row r="117" spans="1:15" ht="34.9" customHeight="1" x14ac:dyDescent="0.25">
      <c r="A117" s="101"/>
      <c r="B117" s="36" t="s">
        <v>103</v>
      </c>
      <c r="C117" s="126"/>
      <c r="D117" s="9"/>
      <c r="E117" s="1"/>
      <c r="F117" s="22"/>
      <c r="G117" s="8"/>
      <c r="H117" s="4"/>
      <c r="I117" s="14"/>
      <c r="J117" s="22"/>
      <c r="K117" s="16"/>
      <c r="L117" s="17"/>
      <c r="M117" s="4"/>
      <c r="N117" s="22"/>
      <c r="O117" s="18"/>
    </row>
    <row r="118" spans="1:15" ht="34.9" customHeight="1" x14ac:dyDescent="0.25">
      <c r="A118" s="101"/>
      <c r="B118" s="36" t="s">
        <v>104</v>
      </c>
      <c r="C118" s="126"/>
      <c r="D118" s="9"/>
      <c r="E118" s="1"/>
      <c r="F118" s="22"/>
      <c r="G118" s="8"/>
      <c r="H118" s="6"/>
      <c r="I118" s="14"/>
      <c r="J118" s="22"/>
      <c r="K118" s="16"/>
      <c r="L118" s="17"/>
      <c r="M118" s="4"/>
      <c r="N118" s="22"/>
      <c r="O118" s="18"/>
    </row>
    <row r="119" spans="1:15" ht="34.9" customHeight="1" x14ac:dyDescent="0.25">
      <c r="A119" s="101"/>
      <c r="B119" s="36" t="s">
        <v>105</v>
      </c>
      <c r="C119" s="126"/>
      <c r="D119" s="9"/>
      <c r="E119" s="1"/>
      <c r="F119" s="22"/>
      <c r="G119" s="8"/>
      <c r="H119" s="4"/>
      <c r="I119" s="14"/>
      <c r="J119" s="22"/>
      <c r="K119" s="16"/>
      <c r="L119" s="17"/>
      <c r="M119" s="4"/>
      <c r="N119" s="22"/>
      <c r="O119" s="18"/>
    </row>
    <row r="120" spans="1:15" ht="34.9" customHeight="1" thickBot="1" x14ac:dyDescent="0.3">
      <c r="A120" s="102"/>
      <c r="B120" s="39" t="s">
        <v>106</v>
      </c>
      <c r="C120" s="127"/>
      <c r="D120" s="9"/>
      <c r="E120" s="2"/>
      <c r="F120" s="22"/>
      <c r="G120" s="8"/>
      <c r="H120" s="4"/>
      <c r="I120" s="14"/>
      <c r="J120" s="22"/>
      <c r="K120" s="16"/>
      <c r="L120" s="17"/>
      <c r="M120" s="4"/>
      <c r="N120" s="22"/>
      <c r="O120" s="18"/>
    </row>
    <row r="121" spans="1:15" ht="23.65" customHeight="1" thickBot="1" x14ac:dyDescent="0.3">
      <c r="A121" s="100">
        <v>3.2</v>
      </c>
      <c r="B121" s="123" t="s">
        <v>107</v>
      </c>
      <c r="C121" s="124"/>
      <c r="D121" s="43"/>
      <c r="E121" s="55"/>
      <c r="F121" s="45"/>
      <c r="G121" s="46"/>
      <c r="H121" s="54"/>
      <c r="I121" s="48"/>
      <c r="J121" s="45"/>
      <c r="K121" s="49"/>
      <c r="L121" s="50"/>
      <c r="M121" s="47"/>
      <c r="N121" s="45"/>
      <c r="O121" s="51"/>
    </row>
    <row r="122" spans="1:15" ht="30.4" customHeight="1" x14ac:dyDescent="0.25">
      <c r="A122" s="101"/>
      <c r="B122" s="38" t="s">
        <v>108</v>
      </c>
      <c r="C122" s="125" t="s">
        <v>76</v>
      </c>
      <c r="D122" s="9"/>
      <c r="E122" s="1"/>
      <c r="F122" s="22"/>
      <c r="G122" s="8"/>
      <c r="H122" s="6"/>
      <c r="I122" s="14"/>
      <c r="J122" s="22"/>
      <c r="K122" s="16"/>
      <c r="L122" s="17"/>
      <c r="M122" s="4"/>
      <c r="N122" s="22"/>
      <c r="O122" s="18"/>
    </row>
    <row r="123" spans="1:15" ht="29.65" customHeight="1" x14ac:dyDescent="0.25">
      <c r="A123" s="101"/>
      <c r="B123" s="36" t="s">
        <v>109</v>
      </c>
      <c r="C123" s="126"/>
      <c r="D123" s="9"/>
      <c r="E123" s="1"/>
      <c r="F123" s="22"/>
      <c r="G123" s="8"/>
      <c r="H123" s="4"/>
      <c r="I123" s="14"/>
      <c r="J123" s="22"/>
      <c r="K123" s="16"/>
      <c r="L123" s="17"/>
      <c r="M123" s="4"/>
      <c r="N123" s="22"/>
      <c r="O123" s="18"/>
    </row>
    <row r="124" spans="1:15" ht="34.9" customHeight="1" x14ac:dyDescent="0.25">
      <c r="A124" s="101"/>
      <c r="B124" s="36" t="s">
        <v>110</v>
      </c>
      <c r="C124" s="126"/>
      <c r="D124" s="9"/>
      <c r="E124" s="1"/>
      <c r="F124" s="22"/>
      <c r="G124" s="8"/>
      <c r="H124" s="4"/>
      <c r="I124" s="14"/>
      <c r="J124" s="22"/>
      <c r="K124" s="16"/>
      <c r="L124" s="17"/>
      <c r="M124" s="4"/>
      <c r="N124" s="22"/>
      <c r="O124" s="18"/>
    </row>
    <row r="125" spans="1:15" ht="34.9" customHeight="1" x14ac:dyDescent="0.25">
      <c r="A125" s="101"/>
      <c r="B125" s="36" t="s">
        <v>111</v>
      </c>
      <c r="C125" s="126"/>
      <c r="D125" s="9"/>
      <c r="E125" s="1"/>
      <c r="F125" s="22"/>
      <c r="G125" s="8"/>
      <c r="H125" s="6"/>
      <c r="I125" s="14"/>
      <c r="J125" s="22"/>
      <c r="K125" s="16"/>
      <c r="L125" s="17"/>
      <c r="M125" s="4"/>
      <c r="N125" s="22"/>
      <c r="O125" s="18"/>
    </row>
    <row r="126" spans="1:15" ht="34.9" customHeight="1" x14ac:dyDescent="0.25">
      <c r="A126" s="101"/>
      <c r="B126" s="36" t="s">
        <v>112</v>
      </c>
      <c r="C126" s="126"/>
      <c r="D126" s="9"/>
      <c r="E126" s="1"/>
      <c r="F126" s="22"/>
      <c r="G126" s="8"/>
      <c r="H126" s="4"/>
      <c r="I126" s="14"/>
      <c r="J126" s="22"/>
      <c r="K126" s="16"/>
      <c r="L126" s="17"/>
      <c r="M126" s="4"/>
      <c r="N126" s="22"/>
      <c r="O126" s="18"/>
    </row>
    <row r="127" spans="1:15" ht="29.65" customHeight="1" x14ac:dyDescent="0.25">
      <c r="A127" s="101"/>
      <c r="B127" s="36" t="s">
        <v>113</v>
      </c>
      <c r="C127" s="126"/>
      <c r="D127" s="9"/>
      <c r="E127" s="1"/>
      <c r="F127" s="22"/>
      <c r="G127" s="8"/>
      <c r="H127" s="4"/>
      <c r="I127" s="14"/>
      <c r="J127" s="22"/>
      <c r="K127" s="16"/>
      <c r="L127" s="17"/>
      <c r="M127" s="4"/>
      <c r="N127" s="22"/>
      <c r="O127" s="18"/>
    </row>
    <row r="128" spans="1:15" ht="31.15" customHeight="1" x14ac:dyDescent="0.25">
      <c r="A128" s="101"/>
      <c r="B128" s="36" t="s">
        <v>114</v>
      </c>
      <c r="C128" s="126"/>
      <c r="D128" s="9"/>
      <c r="E128" s="1"/>
      <c r="F128" s="22"/>
      <c r="G128" s="8"/>
      <c r="H128" s="6"/>
      <c r="I128" s="14"/>
      <c r="J128" s="22"/>
      <c r="K128" s="16"/>
      <c r="L128" s="17"/>
      <c r="M128" s="4"/>
      <c r="N128" s="22"/>
      <c r="O128" s="18"/>
    </row>
    <row r="129" spans="1:15" ht="34.9" customHeight="1" x14ac:dyDescent="0.25">
      <c r="A129" s="101"/>
      <c r="B129" s="36" t="s">
        <v>115</v>
      </c>
      <c r="C129" s="126"/>
      <c r="D129" s="9"/>
      <c r="E129" s="1"/>
      <c r="F129" s="22"/>
      <c r="G129" s="8"/>
      <c r="H129" s="4"/>
      <c r="I129" s="14"/>
      <c r="J129" s="22"/>
      <c r="K129" s="16"/>
      <c r="L129" s="17"/>
      <c r="M129" s="4"/>
      <c r="N129" s="22"/>
      <c r="O129" s="18"/>
    </row>
    <row r="130" spans="1:15" ht="31.15" customHeight="1" thickBot="1" x14ac:dyDescent="0.3">
      <c r="A130" s="102"/>
      <c r="B130" s="39" t="s">
        <v>116</v>
      </c>
      <c r="C130" s="127"/>
      <c r="D130" s="9"/>
      <c r="E130" s="1"/>
      <c r="F130" s="22"/>
      <c r="G130" s="8"/>
      <c r="H130" s="4"/>
      <c r="I130" s="14"/>
      <c r="J130" s="22"/>
      <c r="K130" s="16"/>
      <c r="L130" s="17"/>
      <c r="M130" s="4"/>
      <c r="N130" s="22"/>
      <c r="O130" s="18"/>
    </row>
    <row r="131" spans="1:15" ht="25.9" customHeight="1" thickBot="1" x14ac:dyDescent="0.3">
      <c r="A131" s="100">
        <v>3.3</v>
      </c>
      <c r="B131" s="123" t="s">
        <v>117</v>
      </c>
      <c r="C131" s="124"/>
      <c r="D131" s="43"/>
      <c r="E131" s="44"/>
      <c r="F131" s="45"/>
      <c r="G131" s="46"/>
      <c r="H131" s="54"/>
      <c r="I131" s="48"/>
      <c r="J131" s="45"/>
      <c r="K131" s="49"/>
      <c r="L131" s="50"/>
      <c r="M131" s="47"/>
      <c r="N131" s="45"/>
      <c r="O131" s="51"/>
    </row>
    <row r="132" spans="1:15" ht="29.65" customHeight="1" x14ac:dyDescent="0.25">
      <c r="A132" s="101"/>
      <c r="B132" s="38" t="s">
        <v>118</v>
      </c>
      <c r="C132" s="134" t="s">
        <v>76</v>
      </c>
      <c r="D132" s="9"/>
      <c r="E132" s="1"/>
      <c r="F132" s="22"/>
      <c r="G132" s="8"/>
      <c r="H132" s="6"/>
      <c r="I132" s="14"/>
      <c r="J132" s="22"/>
      <c r="K132" s="16"/>
      <c r="L132" s="17"/>
      <c r="M132" s="4"/>
      <c r="N132" s="22"/>
      <c r="O132" s="18"/>
    </row>
    <row r="133" spans="1:15" ht="43.15" customHeight="1" x14ac:dyDescent="0.25">
      <c r="A133" s="101"/>
      <c r="B133" s="36" t="s">
        <v>119</v>
      </c>
      <c r="C133" s="135"/>
      <c r="D133" s="9"/>
      <c r="E133" s="1"/>
      <c r="F133" s="22"/>
      <c r="G133" s="8"/>
      <c r="H133" s="4"/>
      <c r="I133" s="14"/>
      <c r="J133" s="22"/>
      <c r="K133" s="16"/>
      <c r="L133" s="17"/>
      <c r="M133" s="4"/>
      <c r="N133" s="22"/>
      <c r="O133" s="18"/>
    </row>
    <row r="134" spans="1:15" ht="30.4" customHeight="1" x14ac:dyDescent="0.25">
      <c r="A134" s="101"/>
      <c r="B134" s="36" t="s">
        <v>120</v>
      </c>
      <c r="C134" s="135"/>
      <c r="D134" s="9"/>
      <c r="E134" s="1"/>
      <c r="F134" s="22"/>
      <c r="G134" s="8"/>
      <c r="H134" s="4"/>
      <c r="I134" s="14"/>
      <c r="J134" s="22"/>
      <c r="K134" s="16"/>
      <c r="L134" s="17"/>
      <c r="M134" s="4"/>
      <c r="N134" s="22"/>
      <c r="O134" s="18"/>
    </row>
    <row r="135" spans="1:15" ht="33.4" customHeight="1" x14ac:dyDescent="0.25">
      <c r="A135" s="101"/>
      <c r="B135" s="36" t="s">
        <v>121</v>
      </c>
      <c r="C135" s="135"/>
      <c r="D135" s="9"/>
      <c r="E135" s="1"/>
      <c r="F135" s="22"/>
      <c r="G135" s="8"/>
      <c r="H135" s="6"/>
      <c r="I135" s="14"/>
      <c r="J135" s="22"/>
      <c r="K135" s="16"/>
      <c r="L135" s="17"/>
      <c r="M135" s="4"/>
      <c r="N135" s="22"/>
      <c r="O135" s="18"/>
    </row>
    <row r="136" spans="1:15" ht="30.4" customHeight="1" x14ac:dyDescent="0.25">
      <c r="A136" s="101"/>
      <c r="B136" s="36" t="s">
        <v>122</v>
      </c>
      <c r="C136" s="135"/>
      <c r="D136" s="9"/>
      <c r="E136" s="1"/>
      <c r="F136" s="22"/>
      <c r="G136" s="8"/>
      <c r="H136" s="4"/>
      <c r="I136" s="14"/>
      <c r="J136" s="22"/>
      <c r="K136" s="16"/>
      <c r="L136" s="17"/>
      <c r="M136" s="4"/>
      <c r="N136" s="22"/>
      <c r="O136" s="18"/>
    </row>
    <row r="137" spans="1:15" ht="28.5" customHeight="1" thickBot="1" x14ac:dyDescent="0.3">
      <c r="A137" s="102"/>
      <c r="B137" s="39" t="s">
        <v>123</v>
      </c>
      <c r="C137" s="136"/>
      <c r="D137" s="9"/>
      <c r="E137" s="1"/>
      <c r="F137" s="22"/>
      <c r="G137" s="8"/>
      <c r="H137" s="4"/>
      <c r="I137" s="14"/>
      <c r="J137" s="22"/>
      <c r="K137" s="16"/>
      <c r="L137" s="17"/>
      <c r="M137" s="4"/>
      <c r="N137" s="22"/>
      <c r="O137" s="18"/>
    </row>
    <row r="138" spans="1:15" ht="28.5" customHeight="1" thickBot="1" x14ac:dyDescent="0.3">
      <c r="A138" s="100">
        <v>3.4</v>
      </c>
      <c r="B138" s="123" t="s">
        <v>170</v>
      </c>
      <c r="C138" s="124"/>
      <c r="D138" s="43"/>
      <c r="E138" s="44"/>
      <c r="F138" s="45"/>
      <c r="G138" s="46"/>
      <c r="H138" s="54"/>
      <c r="I138" s="48"/>
      <c r="J138" s="45"/>
      <c r="K138" s="49"/>
      <c r="L138" s="50"/>
      <c r="M138" s="47"/>
      <c r="N138" s="45"/>
      <c r="O138" s="51"/>
    </row>
    <row r="139" spans="1:15" ht="43.15" customHeight="1" x14ac:dyDescent="0.25">
      <c r="A139" s="101"/>
      <c r="B139" s="38" t="s">
        <v>126</v>
      </c>
      <c r="C139" s="134" t="s">
        <v>77</v>
      </c>
      <c r="D139" s="9"/>
      <c r="E139" s="1"/>
      <c r="F139" s="22"/>
      <c r="G139" s="8"/>
      <c r="H139" s="6"/>
      <c r="I139" s="14"/>
      <c r="J139" s="22"/>
      <c r="K139" s="16"/>
      <c r="L139" s="17"/>
      <c r="M139" s="4"/>
      <c r="N139" s="22"/>
      <c r="O139" s="18"/>
    </row>
    <row r="140" spans="1:15" ht="43.15" customHeight="1" x14ac:dyDescent="0.25">
      <c r="A140" s="101"/>
      <c r="B140" s="36" t="s">
        <v>125</v>
      </c>
      <c r="C140" s="135"/>
      <c r="D140" s="9"/>
      <c r="E140" s="1"/>
      <c r="F140" s="22"/>
      <c r="G140" s="8"/>
      <c r="H140" s="4"/>
      <c r="I140" s="14"/>
      <c r="J140" s="22"/>
      <c r="K140" s="16"/>
      <c r="L140" s="17"/>
      <c r="M140" s="4"/>
      <c r="N140" s="22"/>
      <c r="O140" s="18"/>
    </row>
    <row r="141" spans="1:15" ht="43.15" customHeight="1" x14ac:dyDescent="0.25">
      <c r="A141" s="101"/>
      <c r="B141" s="36" t="s">
        <v>124</v>
      </c>
      <c r="C141" s="135"/>
      <c r="D141" s="9"/>
      <c r="E141" s="1"/>
      <c r="F141" s="22"/>
      <c r="G141" s="8"/>
      <c r="H141" s="4"/>
      <c r="I141" s="14"/>
      <c r="J141" s="22"/>
      <c r="K141" s="16"/>
      <c r="L141" s="17"/>
      <c r="M141" s="4"/>
      <c r="N141" s="22"/>
      <c r="O141" s="18"/>
    </row>
    <row r="142" spans="1:15" ht="43.15" customHeight="1" thickBot="1" x14ac:dyDescent="0.3">
      <c r="A142" s="102"/>
      <c r="B142" s="39" t="s">
        <v>127</v>
      </c>
      <c r="C142" s="136"/>
      <c r="D142" s="9"/>
      <c r="E142" s="1"/>
      <c r="F142" s="22"/>
      <c r="G142" s="8"/>
      <c r="H142" s="6"/>
      <c r="I142" s="14"/>
      <c r="J142" s="22"/>
      <c r="K142" s="16"/>
      <c r="L142" s="17"/>
      <c r="M142" s="4"/>
      <c r="N142" s="22"/>
      <c r="O142" s="18"/>
    </row>
    <row r="143" spans="1:15" ht="23.65" customHeight="1" thickBot="1" x14ac:dyDescent="0.3">
      <c r="A143" s="100">
        <v>3.5</v>
      </c>
      <c r="B143" s="123" t="s">
        <v>171</v>
      </c>
      <c r="C143" s="124"/>
      <c r="D143" s="43"/>
      <c r="E143" s="44"/>
      <c r="F143" s="45"/>
      <c r="G143" s="46"/>
      <c r="H143" s="53"/>
      <c r="I143" s="48"/>
      <c r="J143" s="45"/>
      <c r="K143" s="49"/>
      <c r="L143" s="50"/>
      <c r="M143" s="47"/>
      <c r="N143" s="45"/>
      <c r="O143" s="51"/>
    </row>
    <row r="144" spans="1:15" ht="43.15" customHeight="1" x14ac:dyDescent="0.25">
      <c r="A144" s="101"/>
      <c r="B144" s="38" t="s">
        <v>128</v>
      </c>
      <c r="C144" s="134" t="s">
        <v>77</v>
      </c>
      <c r="D144" s="9"/>
      <c r="E144" s="1"/>
      <c r="F144" s="22"/>
      <c r="G144" s="8"/>
      <c r="H144" s="4"/>
      <c r="I144" s="14"/>
      <c r="J144" s="22"/>
      <c r="K144" s="16"/>
      <c r="L144" s="17"/>
      <c r="M144" s="4"/>
      <c r="N144" s="22"/>
      <c r="O144" s="18"/>
    </row>
    <row r="145" spans="1:15" ht="30" customHeight="1" x14ac:dyDescent="0.25">
      <c r="A145" s="101"/>
      <c r="B145" s="36" t="s">
        <v>129</v>
      </c>
      <c r="C145" s="135"/>
      <c r="D145" s="9"/>
      <c r="E145" s="1"/>
      <c r="F145" s="22"/>
      <c r="G145" s="8"/>
      <c r="H145" s="4"/>
      <c r="I145" s="14"/>
      <c r="J145" s="22"/>
      <c r="K145" s="16"/>
      <c r="L145" s="17"/>
      <c r="M145" s="4"/>
      <c r="N145" s="22"/>
      <c r="O145" s="18"/>
    </row>
    <row r="146" spans="1:15" ht="43.15" customHeight="1" x14ac:dyDescent="0.25">
      <c r="A146" s="101"/>
      <c r="B146" s="36" t="s">
        <v>130</v>
      </c>
      <c r="C146" s="135"/>
      <c r="D146" s="9"/>
      <c r="E146" s="1"/>
      <c r="F146" s="22"/>
      <c r="G146" s="8"/>
      <c r="H146" s="6"/>
      <c r="I146" s="14"/>
      <c r="J146" s="22"/>
      <c r="K146" s="16"/>
      <c r="L146" s="17"/>
      <c r="M146" s="4"/>
      <c r="N146" s="22"/>
      <c r="O146" s="18"/>
    </row>
    <row r="147" spans="1:15" ht="43.15" customHeight="1" thickBot="1" x14ac:dyDescent="0.3">
      <c r="A147" s="102"/>
      <c r="B147" s="39" t="s">
        <v>131</v>
      </c>
      <c r="C147" s="136"/>
      <c r="D147" s="9"/>
      <c r="E147" s="1"/>
      <c r="F147" s="22"/>
      <c r="G147" s="8"/>
      <c r="H147" s="4"/>
      <c r="I147" s="14"/>
      <c r="J147" s="22"/>
      <c r="K147" s="16"/>
      <c r="L147" s="17"/>
      <c r="M147" s="4"/>
      <c r="N147" s="22"/>
      <c r="O147" s="18"/>
    </row>
    <row r="148" spans="1:15" ht="25.5" customHeight="1" thickBot="1" x14ac:dyDescent="0.3">
      <c r="A148" s="100">
        <v>3.6</v>
      </c>
      <c r="B148" s="123" t="s">
        <v>172</v>
      </c>
      <c r="C148" s="124"/>
      <c r="D148" s="43"/>
      <c r="E148" s="44"/>
      <c r="F148" s="45"/>
      <c r="G148" s="46"/>
      <c r="H148" s="47"/>
      <c r="I148" s="48"/>
      <c r="J148" s="45"/>
      <c r="K148" s="49"/>
      <c r="L148" s="50"/>
      <c r="M148" s="47"/>
      <c r="N148" s="45"/>
      <c r="O148" s="51"/>
    </row>
    <row r="149" spans="1:15" ht="33" customHeight="1" x14ac:dyDescent="0.25">
      <c r="A149" s="101"/>
      <c r="B149" s="42" t="s">
        <v>132</v>
      </c>
      <c r="C149" s="134" t="s">
        <v>77</v>
      </c>
      <c r="D149" s="9"/>
      <c r="E149" s="1"/>
      <c r="F149" s="22"/>
      <c r="G149" s="8"/>
      <c r="H149" s="4"/>
      <c r="I149" s="14"/>
      <c r="J149" s="22"/>
      <c r="K149" s="16"/>
      <c r="L149" s="17"/>
      <c r="M149" s="4"/>
      <c r="N149" s="22"/>
      <c r="O149" s="18"/>
    </row>
    <row r="150" spans="1:15" ht="43.15" customHeight="1" x14ac:dyDescent="0.25">
      <c r="A150" s="101"/>
      <c r="B150" s="40" t="s">
        <v>133</v>
      </c>
      <c r="C150" s="135"/>
      <c r="D150" s="9"/>
      <c r="E150" s="1"/>
      <c r="F150" s="22"/>
      <c r="G150" s="8"/>
      <c r="H150" s="6"/>
      <c r="I150" s="14"/>
      <c r="J150" s="22"/>
      <c r="K150" s="16"/>
      <c r="L150" s="17"/>
      <c r="M150" s="4"/>
      <c r="N150" s="22"/>
      <c r="O150" s="18"/>
    </row>
    <row r="151" spans="1:15" ht="43.15" customHeight="1" x14ac:dyDescent="0.25">
      <c r="A151" s="101"/>
      <c r="B151" s="40" t="s">
        <v>134</v>
      </c>
      <c r="C151" s="135"/>
      <c r="D151" s="9"/>
      <c r="E151" s="1"/>
      <c r="F151" s="22"/>
      <c r="G151" s="8"/>
      <c r="H151" s="4"/>
      <c r="I151" s="14"/>
      <c r="J151" s="22"/>
      <c r="K151" s="16"/>
      <c r="L151" s="17"/>
      <c r="M151" s="4"/>
      <c r="N151" s="22"/>
      <c r="O151" s="18"/>
    </row>
    <row r="152" spans="1:15" ht="43.15" customHeight="1" thickBot="1" x14ac:dyDescent="0.3">
      <c r="A152" s="102"/>
      <c r="B152" s="41" t="s">
        <v>135</v>
      </c>
      <c r="C152" s="136"/>
      <c r="D152" s="10"/>
      <c r="E152" s="11"/>
      <c r="F152" s="11"/>
      <c r="G152" s="12"/>
      <c r="H152" s="19"/>
      <c r="I152" s="23"/>
      <c r="J152" s="11"/>
      <c r="K152" s="24"/>
      <c r="L152" s="19"/>
      <c r="M152" s="20"/>
      <c r="N152" s="11"/>
      <c r="O152" s="21"/>
    </row>
    <row r="153" spans="1:15" ht="43.15" customHeight="1" x14ac:dyDescent="0.25"/>
    <row r="154" spans="1:15" ht="43.15" customHeight="1" x14ac:dyDescent="0.25"/>
    <row r="155" spans="1:15" ht="43.15" customHeight="1" x14ac:dyDescent="0.25"/>
    <row r="156" spans="1:15" ht="43.15" customHeight="1" x14ac:dyDescent="0.25"/>
    <row r="157" spans="1:15" ht="43.15" customHeight="1" x14ac:dyDescent="0.25"/>
    <row r="158" spans="1:15" ht="43.15" customHeight="1" x14ac:dyDescent="0.25"/>
    <row r="159" spans="1:15" ht="43.15" customHeight="1" x14ac:dyDescent="0.25"/>
    <row r="160" spans="1:15" ht="43.15" customHeight="1" x14ac:dyDescent="0.25"/>
  </sheetData>
  <autoFilter ref="A7:T7">
    <filterColumn colId="1" showButton="0"/>
  </autoFilter>
  <dataConsolidate/>
  <mergeCells count="97">
    <mergeCell ref="C139:C142"/>
    <mergeCell ref="B138:C138"/>
    <mergeCell ref="B143:C143"/>
    <mergeCell ref="A148:A152"/>
    <mergeCell ref="A138:A142"/>
    <mergeCell ref="C144:C147"/>
    <mergeCell ref="C149:C152"/>
    <mergeCell ref="B148:C148"/>
    <mergeCell ref="A143:A147"/>
    <mergeCell ref="B112:C112"/>
    <mergeCell ref="C113:C120"/>
    <mergeCell ref="C106:C110"/>
    <mergeCell ref="B70:C70"/>
    <mergeCell ref="A70:A78"/>
    <mergeCell ref="B79:C79"/>
    <mergeCell ref="A79:A85"/>
    <mergeCell ref="B86:C86"/>
    <mergeCell ref="A86:A89"/>
    <mergeCell ref="C71:C78"/>
    <mergeCell ref="C122:C130"/>
    <mergeCell ref="C132:C137"/>
    <mergeCell ref="A111:C111"/>
    <mergeCell ref="C87:C89"/>
    <mergeCell ref="C91:C96"/>
    <mergeCell ref="C98:C104"/>
    <mergeCell ref="B105:C105"/>
    <mergeCell ref="A105:A110"/>
    <mergeCell ref="A121:A130"/>
    <mergeCell ref="B131:C131"/>
    <mergeCell ref="A131:A137"/>
    <mergeCell ref="B90:C90"/>
    <mergeCell ref="A90:A96"/>
    <mergeCell ref="B97:C97"/>
    <mergeCell ref="A97:A104"/>
    <mergeCell ref="A112:A120"/>
    <mergeCell ref="C63:C64"/>
    <mergeCell ref="B34:C34"/>
    <mergeCell ref="B121:C121"/>
    <mergeCell ref="B62:C62"/>
    <mergeCell ref="B65:C65"/>
    <mergeCell ref="B67:C67"/>
    <mergeCell ref="C80:C85"/>
    <mergeCell ref="A69:C69"/>
    <mergeCell ref="A62:A64"/>
    <mergeCell ref="A65:A66"/>
    <mergeCell ref="A67:A68"/>
    <mergeCell ref="A40:A43"/>
    <mergeCell ref="A44:A47"/>
    <mergeCell ref="A48:A51"/>
    <mergeCell ref="A52:A55"/>
    <mergeCell ref="A56:A61"/>
    <mergeCell ref="C41:C43"/>
    <mergeCell ref="C45:C47"/>
    <mergeCell ref="C49:C51"/>
    <mergeCell ref="C53:C55"/>
    <mergeCell ref="C57:C61"/>
    <mergeCell ref="B56:C56"/>
    <mergeCell ref="B48:C48"/>
    <mergeCell ref="B52:C52"/>
    <mergeCell ref="B44:C44"/>
    <mergeCell ref="A31:A33"/>
    <mergeCell ref="A34:A39"/>
    <mergeCell ref="B31:C31"/>
    <mergeCell ref="A7:A16"/>
    <mergeCell ref="L3:O3"/>
    <mergeCell ref="M4:M6"/>
    <mergeCell ref="N4:N6"/>
    <mergeCell ref="O4:O6"/>
    <mergeCell ref="B7:C7"/>
    <mergeCell ref="E4:E6"/>
    <mergeCell ref="F4:F6"/>
    <mergeCell ref="G4:G6"/>
    <mergeCell ref="D4:D6"/>
    <mergeCell ref="H4:H6"/>
    <mergeCell ref="L4:L6"/>
    <mergeCell ref="C8:C16"/>
    <mergeCell ref="B40:C40"/>
    <mergeCell ref="B17:C17"/>
    <mergeCell ref="B26:C26"/>
    <mergeCell ref="C32:C33"/>
    <mergeCell ref="C35:C39"/>
    <mergeCell ref="C18:C20"/>
    <mergeCell ref="C22:C25"/>
    <mergeCell ref="J4:J6"/>
    <mergeCell ref="K4:K6"/>
    <mergeCell ref="D3:G3"/>
    <mergeCell ref="C27:C30"/>
    <mergeCell ref="A1:O2"/>
    <mergeCell ref="A3:C3"/>
    <mergeCell ref="B21:C21"/>
    <mergeCell ref="A6:C6"/>
    <mergeCell ref="A17:A20"/>
    <mergeCell ref="A21:A25"/>
    <mergeCell ref="A26:A30"/>
    <mergeCell ref="A4:C5"/>
    <mergeCell ref="H3:K3"/>
    <mergeCell ref="I4:I6"/>
  </mergeCells>
  <conditionalFormatting sqref="G7">
    <cfRule type="containsText" dxfId="25" priority="44" operator="containsText" text="X">
      <formula>NOT(ISERROR(SEARCH("X",G7)))</formula>
    </cfRule>
    <cfRule type="containsText" dxfId="24" priority="45" operator="containsText" text="P">
      <formula>NOT(ISERROR(SEARCH("P",G7)))</formula>
    </cfRule>
  </conditionalFormatting>
  <conditionalFormatting sqref="F7">
    <cfRule type="containsText" dxfId="23" priority="40" operator="containsText" text="X">
      <formula>NOT(ISERROR(SEARCH("X",F7)))</formula>
    </cfRule>
    <cfRule type="containsText" dxfId="22" priority="41" operator="containsText" text="P">
      <formula>NOT(ISERROR(SEARCH("P",F7)))</formula>
    </cfRule>
  </conditionalFormatting>
  <conditionalFormatting sqref="F7">
    <cfRule type="containsText" dxfId="21" priority="42" operator="containsText" text="?">
      <formula>NOT(ISERROR(SEARCH("?",F7)))</formula>
    </cfRule>
  </conditionalFormatting>
  <conditionalFormatting sqref="F8:F68 F70:F110 F112:F151">
    <cfRule type="containsText" dxfId="20" priority="3" operator="containsText" text="X">
      <formula>NOT(ISERROR(SEARCH("X",F8)))</formula>
    </cfRule>
    <cfRule type="containsText" dxfId="19" priority="38" operator="containsText" text="P">
      <formula>NOT(ISERROR(SEARCH("P",F8)))</formula>
    </cfRule>
  </conditionalFormatting>
  <conditionalFormatting sqref="F8:F68 F70:F110 F112:F151">
    <cfRule type="containsText" dxfId="18" priority="39" operator="containsText" text="?">
      <formula>NOT(ISERROR(SEARCH("?",F8)))</formula>
    </cfRule>
  </conditionalFormatting>
  <conditionalFormatting sqref="J7">
    <cfRule type="containsText" dxfId="17" priority="19" operator="containsText" text="X">
      <formula>NOT(ISERROR(SEARCH("X",J7)))</formula>
    </cfRule>
    <cfRule type="containsText" dxfId="16" priority="20" operator="containsText" text="P">
      <formula>NOT(ISERROR(SEARCH("P",J7)))</formula>
    </cfRule>
  </conditionalFormatting>
  <conditionalFormatting sqref="J7">
    <cfRule type="containsText" dxfId="15" priority="21" operator="containsText" text="?">
      <formula>NOT(ISERROR(SEARCH("?",J7)))</formula>
    </cfRule>
  </conditionalFormatting>
  <conditionalFormatting sqref="J8:J68 J70:J110 J112:J151">
    <cfRule type="containsText" dxfId="14" priority="13" operator="containsText" text="X">
      <formula>NOT(ISERROR(SEARCH("X",J8)))</formula>
    </cfRule>
    <cfRule type="containsText" dxfId="13" priority="14" operator="containsText" text="P">
      <formula>NOT(ISERROR(SEARCH("P",J8)))</formula>
    </cfRule>
  </conditionalFormatting>
  <conditionalFormatting sqref="J8:J68 J70:J110 J112:J151">
    <cfRule type="containsText" dxfId="12" priority="15" operator="containsText" text="?">
      <formula>NOT(ISERROR(SEARCH("?",J8)))</formula>
    </cfRule>
  </conditionalFormatting>
  <conditionalFormatting sqref="K7:K68 K70:K110 K112:K152">
    <cfRule type="containsText" dxfId="11" priority="10" operator="containsText" text="X">
      <formula>NOT(ISERROR(SEARCH("X",K7)))</formula>
    </cfRule>
    <cfRule type="containsText" dxfId="10" priority="11" operator="containsText" text="P">
      <formula>NOT(ISERROR(SEARCH("P",K7)))</formula>
    </cfRule>
  </conditionalFormatting>
  <conditionalFormatting sqref="K7:K68 K70:K110 K112:K152">
    <cfRule type="containsText" dxfId="9" priority="12" operator="containsText" text="?">
      <formula>NOT(ISERROR(SEARCH("?",K7)))</formula>
    </cfRule>
  </conditionalFormatting>
  <conditionalFormatting sqref="N7">
    <cfRule type="containsText" dxfId="8" priority="7" operator="containsText" text="X">
      <formula>NOT(ISERROR(SEARCH("X",N7)))</formula>
    </cfRule>
    <cfRule type="containsText" dxfId="7" priority="8" operator="containsText" text="P">
      <formula>NOT(ISERROR(SEARCH("P",N7)))</formula>
    </cfRule>
  </conditionalFormatting>
  <conditionalFormatting sqref="N7">
    <cfRule type="containsText" dxfId="6" priority="9" operator="containsText" text="?">
      <formula>NOT(ISERROR(SEARCH("?",N7)))</formula>
    </cfRule>
  </conditionalFormatting>
  <conditionalFormatting sqref="N8:N68 N70:N110 N112:N151">
    <cfRule type="containsText" dxfId="5" priority="4" operator="containsText" text="X">
      <formula>NOT(ISERROR(SEARCH("X",N8)))</formula>
    </cfRule>
    <cfRule type="containsText" dxfId="4" priority="5" operator="containsText" text="P">
      <formula>NOT(ISERROR(SEARCH("P",N8)))</formula>
    </cfRule>
  </conditionalFormatting>
  <conditionalFormatting sqref="N8:N68 N70:N110 N112:N151">
    <cfRule type="containsText" dxfId="3" priority="6" operator="containsText" text="?">
      <formula>NOT(ISERROR(SEARCH("?",N8)))</formula>
    </cfRule>
  </conditionalFormatting>
  <conditionalFormatting sqref="F1:F3 F7:F1048576">
    <cfRule type="containsText" dxfId="2" priority="1" operator="containsText" text="ok">
      <formula>NOT(ISERROR(SEARCH("ok",F1)))</formula>
    </cfRule>
    <cfRule type="containsText" dxfId="1" priority="2" operator="containsText" text="x">
      <formula>NOT(ISERROR(SEARCH("x",F1)))</formula>
    </cfRule>
    <cfRule type="containsText" dxfId="0" priority="43" operator="containsText" text="?">
      <formula>NOT(ISERROR(SEARCH("?",F1)))</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88ECE2E70AB8B46B2C449C81E540480" ma:contentTypeVersion="28" ma:contentTypeDescription="Create a new document." ma:contentTypeScope="" ma:versionID="5250da8d2c923956407bc63060a58ece">
  <xsd:schema xmlns:xsd="http://www.w3.org/2001/XMLSchema" xmlns:xs="http://www.w3.org/2001/XMLSchema" xmlns:p="http://schemas.microsoft.com/office/2006/metadata/properties" xmlns:ns2="04dd4f8b-4e55-4b0f-90ae-c416a13e2e63" xmlns:ns3="51b58b7f-359e-418a-8fc0-c5d77d026bdc" targetNamespace="http://schemas.microsoft.com/office/2006/metadata/properties" ma:root="true" ma:fieldsID="e748ec7026d612582a46e883eb0221a3" ns2:_="" ns3:_="">
    <xsd:import namespace="04dd4f8b-4e55-4b0f-90ae-c416a13e2e63"/>
    <xsd:import namespace="51b58b7f-359e-418a-8fc0-c5d77d026bdc"/>
    <xsd:element name="properties">
      <xsd:complexType>
        <xsd:sequence>
          <xsd:element name="documentManagement">
            <xsd:complexType>
              <xsd:all>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Leaders" minOccurs="0"/>
                <xsd:element ref="ns2:Members" minOccurs="0"/>
                <xsd:element ref="ns2:Member_Groups" minOccurs="0"/>
                <xsd:element ref="ns2:Distribution_Groups" minOccurs="0"/>
                <xsd:element ref="ns2:LMS_Mappings" minOccurs="0"/>
                <xsd:element ref="ns2:Invited_Leaders" minOccurs="0"/>
                <xsd:element ref="ns2:Invited_Members" minOccurs="0"/>
                <xsd:element ref="ns2:Self_Registration_Enabled" minOccurs="0"/>
                <xsd:element ref="ns2:Has_Leaders_Only_SectionGroup" minOccurs="0"/>
                <xsd:element ref="ns2:Is_Collaboration_Space_Locked" minOccurs="0"/>
                <xsd:element ref="ns2:IsNotebookLocked" minOccurs="0"/>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dd4f8b-4e55-4b0f-90ae-c416a13e2e63" elementFormDefault="qualified">
    <xsd:import namespace="http://schemas.microsoft.com/office/2006/documentManagement/types"/>
    <xsd:import namespace="http://schemas.microsoft.com/office/infopath/2007/PartnerControls"/>
    <xsd:element name="NotebookType" ma:index="8" nillable="true" ma:displayName="Notebook Type" ma:internalName="NotebookType">
      <xsd:simpleType>
        <xsd:restriction base="dms:Text"/>
      </xsd:simpleType>
    </xsd:element>
    <xsd:element name="FolderType" ma:index="9" nillable="true" ma:displayName="Folder Type" ma:internalName="FolderType">
      <xsd:simpleType>
        <xsd:restriction base="dms:Text"/>
      </xsd:simpleType>
    </xsd:element>
    <xsd:element name="CultureName" ma:index="10" nillable="true" ma:displayName="Culture Name" ma:internalName="CultureName">
      <xsd:simpleType>
        <xsd:restriction base="dms:Text"/>
      </xsd:simpleType>
    </xsd:element>
    <xsd:element name="AppVersion" ma:index="11" nillable="true" ma:displayName="App Version" ma:internalName="AppVersion">
      <xsd:simpleType>
        <xsd:restriction base="dms:Text"/>
      </xsd:simpleType>
    </xsd:element>
    <xsd:element name="TeamsChannelId" ma:index="12" nillable="true" ma:displayName="Teams Channel Id" ma:internalName="TeamsChannelId">
      <xsd:simpleType>
        <xsd:restriction base="dms:Text"/>
      </xsd:simpleType>
    </xsd:element>
    <xsd:element name="Owner" ma:index="13"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14" nillable="true" ma:displayName="Math Settings" ma:internalName="Math_Settings">
      <xsd:simpleType>
        <xsd:restriction base="dms:Text"/>
      </xsd:simpleType>
    </xsd:element>
    <xsd:element name="DefaultSectionNames" ma:index="15" nillable="true" ma:displayName="Default Section Names" ma:internalName="DefaultSectionNames">
      <xsd:simpleType>
        <xsd:restriction base="dms:Note">
          <xsd:maxLength value="255"/>
        </xsd:restriction>
      </xsd:simpleType>
    </xsd:element>
    <xsd:element name="Templates" ma:index="16" nillable="true" ma:displayName="Templates" ma:internalName="Templates">
      <xsd:simpleType>
        <xsd:restriction base="dms:Note">
          <xsd:maxLength value="255"/>
        </xsd:restriction>
      </xsd:simpleType>
    </xsd:element>
    <xsd:element name="Leaders" ma:index="17" nillable="true" ma:displayName="Leaders" ma:internalName="Lead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s" ma:index="18" nillable="true" ma:displayName="Members" ma:internalName="Memb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mber_Groups" ma:index="19" nillable="true" ma:displayName="Member Groups" ma:internalName="Member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20" nillable="true" ma:displayName="Distribution Groups" ma:internalName="Distribution_Groups">
      <xsd:simpleType>
        <xsd:restriction base="dms:Note">
          <xsd:maxLength value="255"/>
        </xsd:restriction>
      </xsd:simpleType>
    </xsd:element>
    <xsd:element name="LMS_Mappings" ma:index="21" nillable="true" ma:displayName="LMS Mappings" ma:internalName="LMS_Mappings">
      <xsd:simpleType>
        <xsd:restriction base="dms:Note">
          <xsd:maxLength value="255"/>
        </xsd:restriction>
      </xsd:simpleType>
    </xsd:element>
    <xsd:element name="Invited_Leaders" ma:index="22" nillable="true" ma:displayName="Invited Leaders" ma:internalName="Invited_Leaders">
      <xsd:simpleType>
        <xsd:restriction base="dms:Note">
          <xsd:maxLength value="255"/>
        </xsd:restriction>
      </xsd:simpleType>
    </xsd:element>
    <xsd:element name="Invited_Members" ma:index="23" nillable="true" ma:displayName="Invited Members" ma:internalName="Invited_Members">
      <xsd:simpleType>
        <xsd:restriction base="dms:Note">
          <xsd:maxLength value="255"/>
        </xsd:restriction>
      </xsd:simpleType>
    </xsd:element>
    <xsd:element name="Self_Registration_Enabled" ma:index="24" nillable="true" ma:displayName="Self Registration Enabled" ma:internalName="Self_Registration_Enabled">
      <xsd:simpleType>
        <xsd:restriction base="dms:Boolean"/>
      </xsd:simpleType>
    </xsd:element>
    <xsd:element name="Has_Leaders_Only_SectionGroup" ma:index="25" nillable="true" ma:displayName="Has Leaders Only SectionGroup" ma:internalName="Has_Leaders_Only_SectionGroup">
      <xsd:simpleType>
        <xsd:restriction base="dms:Boolean"/>
      </xsd:simpleType>
    </xsd:element>
    <xsd:element name="Is_Collaboration_Space_Locked" ma:index="26" nillable="true" ma:displayName="Is Collaboration Space Locked" ma:internalName="Is_Collaboration_Space_Locked">
      <xsd:simpleType>
        <xsd:restriction base="dms:Boolean"/>
      </xsd:simpleType>
    </xsd:element>
    <xsd:element name="IsNotebookLocked" ma:index="27" nillable="true" ma:displayName="Is Notebook Locked" ma:internalName="IsNotebookLocked">
      <xsd:simpleType>
        <xsd:restriction base="dms:Boolean"/>
      </xsd:simpleType>
    </xsd:element>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DateTaken" ma:index="30" nillable="true" ma:displayName="MediaServiceDateTaken" ma:hidden="true" ma:internalName="MediaServiceDateTaken" ma:readOnly="true">
      <xsd:simpleType>
        <xsd:restriction base="dms:Text"/>
      </xsd:simpleType>
    </xsd:element>
    <xsd:element name="MediaServiceAutoTags" ma:index="31" nillable="true" ma:displayName="Tags" ma:internalName="MediaServiceAutoTags" ma:readOnly="true">
      <xsd:simpleType>
        <xsd:restriction base="dms:Text"/>
      </xsd:simpleType>
    </xsd:element>
    <xsd:element name="MediaServiceAutoKeyPoints" ma:index="34" nillable="true" ma:displayName="MediaServiceAutoKeyPoints" ma:hidden="true" ma:internalName="MediaServiceAutoKeyPoints" ma:readOnly="true">
      <xsd:simpleType>
        <xsd:restriction base="dms:Note"/>
      </xsd:simpleType>
    </xsd:element>
    <xsd:element name="MediaServiceKeyPoints" ma:index="35"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1b58b7f-359e-418a-8fc0-c5d77d026bdc" elementFormDefault="qualified">
    <xsd:import namespace="http://schemas.microsoft.com/office/2006/documentManagement/types"/>
    <xsd:import namespace="http://schemas.microsoft.com/office/infopath/2007/PartnerControls"/>
    <xsd:element name="SharedWithUsers" ma:index="3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Owner xmlns="04dd4f8b-4e55-4b0f-90ae-c416a13e2e63">
      <UserInfo>
        <DisplayName/>
        <AccountId xsi:nil="true"/>
        <AccountType/>
      </UserInfo>
    </Owner>
    <Distribution_Groups xmlns="04dd4f8b-4e55-4b0f-90ae-c416a13e2e63" xsi:nil="true"/>
    <DefaultSectionNames xmlns="04dd4f8b-4e55-4b0f-90ae-c416a13e2e63" xsi:nil="true"/>
    <Invited_Leaders xmlns="04dd4f8b-4e55-4b0f-90ae-c416a13e2e63" xsi:nil="true"/>
    <Member_Groups xmlns="04dd4f8b-4e55-4b0f-90ae-c416a13e2e63">
      <UserInfo>
        <DisplayName/>
        <AccountId xsi:nil="true"/>
        <AccountType/>
      </UserInfo>
    </Member_Groups>
    <Invited_Members xmlns="04dd4f8b-4e55-4b0f-90ae-c416a13e2e63" xsi:nil="true"/>
    <Is_Collaboration_Space_Locked xmlns="04dd4f8b-4e55-4b0f-90ae-c416a13e2e63" xsi:nil="true"/>
    <TeamsChannelId xmlns="04dd4f8b-4e55-4b0f-90ae-c416a13e2e63" xsi:nil="true"/>
    <FolderType xmlns="04dd4f8b-4e55-4b0f-90ae-c416a13e2e63" xsi:nil="true"/>
    <CultureName xmlns="04dd4f8b-4e55-4b0f-90ae-c416a13e2e63" xsi:nil="true"/>
    <Leaders xmlns="04dd4f8b-4e55-4b0f-90ae-c416a13e2e63">
      <UserInfo>
        <DisplayName/>
        <AccountId xsi:nil="true"/>
        <AccountType/>
      </UserInfo>
    </Leaders>
    <Members xmlns="04dd4f8b-4e55-4b0f-90ae-c416a13e2e63">
      <UserInfo>
        <DisplayName/>
        <AccountId xsi:nil="true"/>
        <AccountType/>
      </UserInfo>
    </Members>
    <Self_Registration_Enabled xmlns="04dd4f8b-4e55-4b0f-90ae-c416a13e2e63" xsi:nil="true"/>
    <LMS_Mappings xmlns="04dd4f8b-4e55-4b0f-90ae-c416a13e2e63" xsi:nil="true"/>
    <IsNotebookLocked xmlns="04dd4f8b-4e55-4b0f-90ae-c416a13e2e63" xsi:nil="true"/>
    <Math_Settings xmlns="04dd4f8b-4e55-4b0f-90ae-c416a13e2e63" xsi:nil="true"/>
    <Has_Leaders_Only_SectionGroup xmlns="04dd4f8b-4e55-4b0f-90ae-c416a13e2e63" xsi:nil="true"/>
    <AppVersion xmlns="04dd4f8b-4e55-4b0f-90ae-c416a13e2e63" xsi:nil="true"/>
    <NotebookType xmlns="04dd4f8b-4e55-4b0f-90ae-c416a13e2e63" xsi:nil="true"/>
    <Templates xmlns="04dd4f8b-4e55-4b0f-90ae-c416a13e2e63" xsi:nil="true"/>
  </documentManagement>
</p:properties>
</file>

<file path=customXml/itemProps1.xml><?xml version="1.0" encoding="utf-8"?>
<ds:datastoreItem xmlns:ds="http://schemas.openxmlformats.org/officeDocument/2006/customXml" ds:itemID="{9179D177-282C-460D-B463-B040C7FF2A59}">
  <ds:schemaRefs>
    <ds:schemaRef ds:uri="http://schemas.microsoft.com/sharepoint/v3/contenttype/forms"/>
  </ds:schemaRefs>
</ds:datastoreItem>
</file>

<file path=customXml/itemProps2.xml><?xml version="1.0" encoding="utf-8"?>
<ds:datastoreItem xmlns:ds="http://schemas.openxmlformats.org/officeDocument/2006/customXml" ds:itemID="{5697AA87-532F-4751-91C1-2E3330EA0C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dd4f8b-4e55-4b0f-90ae-c416a13e2e63"/>
    <ds:schemaRef ds:uri="51b58b7f-359e-418a-8fc0-c5d77d026b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4A3973-1FE0-4589-AFAB-D3AFA43105A2}">
  <ds:schemaRefs>
    <ds:schemaRef ds:uri="http://schemas.microsoft.com/office/2006/documentManagement/types"/>
    <ds:schemaRef ds:uri="http://schemas.openxmlformats.org/package/2006/metadata/core-properties"/>
    <ds:schemaRef ds:uri="http://purl.org/dc/terms/"/>
    <ds:schemaRef ds:uri="http://purl.org/dc/elements/1.1/"/>
    <ds:schemaRef ds:uri="04dd4f8b-4e55-4b0f-90ae-c416a13e2e63"/>
    <ds:schemaRef ds:uri="http://schemas.microsoft.com/office/2006/metadata/properties"/>
    <ds:schemaRef ds:uri="http://schemas.microsoft.com/office/infopath/2007/PartnerControls"/>
    <ds:schemaRef ds:uri="51b58b7f-359e-418a-8fc0-c5d77d026bdc"/>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SDL4</vt:lpstr>
      <vt:lpstr>Sheet1</vt:lpstr>
      <vt:lpstr>'SDL4'!Print_Area</vt:lpstr>
    </vt:vector>
  </TitlesOfParts>
  <Company>QA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QA User</cp:lastModifiedBy>
  <dcterms:created xsi:type="dcterms:W3CDTF">2017-06-28T09:14:42Z</dcterms:created>
  <dcterms:modified xsi:type="dcterms:W3CDTF">2020-10-15T12:02:50Z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0x010100488ECE2E70AB8B46B2C449C81E540480</vt:lpwstr>
  </property>
</Properties>
</file>